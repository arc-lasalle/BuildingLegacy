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salleuniversities.sharepoint.com/sites/d23-ddr-iar/Shared Documents/ARC/PROJECTS/BUILDING LEGACY/Publications/Paper/Material/Commit_2026.08.20/"/>
    </mc:Choice>
  </mc:AlternateContent>
  <xr:revisionPtr revIDLastSave="13" documentId="8_{60C241FA-32CA-4244-8ABC-C8F4D0B62BF4}" xr6:coauthVersionLast="47" xr6:coauthVersionMax="47" xr10:uidLastSave="{2089F7AF-0963-4F2D-BC0A-4911B7F03EF3}"/>
  <bookViews>
    <workbookView xWindow="-110" yWindow="-110" windowWidth="38620" windowHeight="21100" activeTab="1" xr2:uid="{85A810B7-F6A3-445D-844F-09C788F896CC}"/>
  </bookViews>
  <sheets>
    <sheet name="BAMB Params selection" sheetId="3" r:id="rId1"/>
    <sheet name="RUL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5" i="3" l="1"/>
  <c r="I152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6" i="3"/>
  <c r="I147" i="3"/>
  <c r="I148" i="3"/>
  <c r="I149" i="3"/>
  <c r="I150" i="3"/>
  <c r="I151" i="3"/>
  <c r="I153" i="3"/>
  <c r="I154" i="3"/>
  <c r="I155" i="3"/>
  <c r="I3" i="3"/>
  <c r="P15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tc={2B632454-EAF5-4725-904F-1AD67A23571B}</author>
  </authors>
  <commentList>
    <comment ref="D142" authorId="0" shapeId="0" xr:uid="{2B632454-EAF5-4725-904F-1AD67A2357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¿Diferencia con “Dimensions and weight”?</t>
      </text>
    </comment>
  </commentList>
</comments>
</file>

<file path=xl/sharedStrings.xml><?xml version="1.0" encoding="utf-8"?>
<sst xmlns="http://schemas.openxmlformats.org/spreadsheetml/2006/main" count="2268" uniqueCount="504">
  <si>
    <t>Needed data</t>
  </si>
  <si>
    <t>Is available for existing buildings?</t>
  </si>
  <si>
    <t>Dimensions</t>
  </si>
  <si>
    <t>Weight</t>
  </si>
  <si>
    <t>Density</t>
  </si>
  <si>
    <t>-</t>
  </si>
  <si>
    <t>Thermal mass</t>
  </si>
  <si>
    <t>Absorption</t>
  </si>
  <si>
    <t>Thermal conductivity</t>
  </si>
  <si>
    <t>Heat protection</t>
  </si>
  <si>
    <t>Others</t>
  </si>
  <si>
    <t>Transparency</t>
  </si>
  <si>
    <t>Expected lifetime</t>
  </si>
  <si>
    <t>Chemical composition</t>
  </si>
  <si>
    <t>Material criticality</t>
  </si>
  <si>
    <t>Emission trading</t>
  </si>
  <si>
    <t>Resource taxation</t>
  </si>
  <si>
    <t>Untreated / Treated</t>
  </si>
  <si>
    <t>Decomposability</t>
  </si>
  <si>
    <t>Toxicity</t>
  </si>
  <si>
    <t>Category</t>
  </si>
  <si>
    <t>Recycled content</t>
  </si>
  <si>
    <t>Product</t>
  </si>
  <si>
    <t>Physical</t>
  </si>
  <si>
    <t>Structural data</t>
  </si>
  <si>
    <t>Building physics: Energy Performance</t>
  </si>
  <si>
    <t>Building physics: Hygroscopicity</t>
  </si>
  <si>
    <t>Building physics: Ventilation &amp; Airthightness</t>
  </si>
  <si>
    <t>Building physics: Daylight</t>
  </si>
  <si>
    <t xml:space="preserve">Building physics: Fire protection </t>
  </si>
  <si>
    <t>Building physics: Fire resistance</t>
  </si>
  <si>
    <t>Building physics: others</t>
  </si>
  <si>
    <t>Building physics: Optical</t>
  </si>
  <si>
    <t>Lifespans and durability</t>
  </si>
  <si>
    <t>Recycling and reuse potential</t>
  </si>
  <si>
    <t>Chemical</t>
  </si>
  <si>
    <t>Health and safety</t>
  </si>
  <si>
    <t xml:space="preserve">LCA </t>
  </si>
  <si>
    <t>LCC</t>
  </si>
  <si>
    <t>SLCA</t>
  </si>
  <si>
    <t>Resistance and stability</t>
  </si>
  <si>
    <t>Biological</t>
  </si>
  <si>
    <t>Recycling and Reuse potential</t>
  </si>
  <si>
    <t>Process</t>
  </si>
  <si>
    <t>EPD</t>
  </si>
  <si>
    <t>PEF</t>
  </si>
  <si>
    <t>Product label</t>
  </si>
  <si>
    <t>Unique identifiers</t>
  </si>
  <si>
    <t>Actors</t>
  </si>
  <si>
    <t>Transportation and logistics</t>
  </si>
  <si>
    <t>Measurements</t>
  </si>
  <si>
    <t>Area</t>
  </si>
  <si>
    <t>Volume</t>
  </si>
  <si>
    <t>Compressive strength</t>
  </si>
  <si>
    <t>Load bearing</t>
  </si>
  <si>
    <t>Stability</t>
  </si>
  <si>
    <t>Resistance</t>
  </si>
  <si>
    <t>U-value</t>
  </si>
  <si>
    <t>Colour</t>
  </si>
  <si>
    <t>Structure</t>
  </si>
  <si>
    <t>Surface</t>
  </si>
  <si>
    <t>Transmission</t>
  </si>
  <si>
    <t>Reflectivity</t>
  </si>
  <si>
    <t>Vapour diffusion</t>
  </si>
  <si>
    <t>Porosity</t>
  </si>
  <si>
    <t>NA</t>
  </si>
  <si>
    <t>Building physics: Acoustics</t>
  </si>
  <si>
    <t>Sound insulation</t>
  </si>
  <si>
    <t>Bill of Materials</t>
  </si>
  <si>
    <t>Material Safety Data Sheet</t>
  </si>
  <si>
    <t>Maintenance</t>
  </si>
  <si>
    <t>Health and safety: Material composition</t>
  </si>
  <si>
    <t>Aditives</t>
  </si>
  <si>
    <t>Product name</t>
  </si>
  <si>
    <t>Brand name</t>
  </si>
  <si>
    <t>Manufacturers name</t>
  </si>
  <si>
    <t>Manufacturers registration number</t>
  </si>
  <si>
    <t>Manufacturers conuntry of registration</t>
  </si>
  <si>
    <t>Manufacturers article number</t>
  </si>
  <si>
    <t>Manufacturing date</t>
  </si>
  <si>
    <t>Year of data set</t>
  </si>
  <si>
    <t>GTIN or EAN number</t>
  </si>
  <si>
    <t>Products main function</t>
  </si>
  <si>
    <t>CAS number</t>
  </si>
  <si>
    <t>Product complexity</t>
  </si>
  <si>
    <t>Legislation and policy: REACH</t>
  </si>
  <si>
    <t>Legislation and policy: Substances of Very High Concern</t>
  </si>
  <si>
    <t>Legislation and policy: Carcinogenic Mutagen Reprotoxic</t>
  </si>
  <si>
    <t>Legislation and policy: Classification Labelling and Packaging (CLP) Regulation</t>
  </si>
  <si>
    <t>Legislation and policy: Classification Labelling and Packaging  of chemicals (GHS) Regulation</t>
  </si>
  <si>
    <t>Legislation and policy: Others</t>
  </si>
  <si>
    <t>Beneficial functions</t>
  </si>
  <si>
    <t>Product Certification and Labels</t>
  </si>
  <si>
    <t>Product picture</t>
  </si>
  <si>
    <t>Production data</t>
  </si>
  <si>
    <t xml:space="preserve"> Material and product composition</t>
  </si>
  <si>
    <t>Dimensions and weight</t>
  </si>
  <si>
    <t>Required vehicles</t>
  </si>
  <si>
    <t>Required labour and hours</t>
  </si>
  <si>
    <t>Required tools</t>
  </si>
  <si>
    <t>Health and Safety requirements</t>
  </si>
  <si>
    <t>Storage requirements</t>
  </si>
  <si>
    <t>Material flow analysis</t>
  </si>
  <si>
    <t>Information flows</t>
  </si>
  <si>
    <t>Supply chain information</t>
  </si>
  <si>
    <t>Traceability (RFID tags, barcodes, others)</t>
  </si>
  <si>
    <t>Packaging requirements</t>
  </si>
  <si>
    <t>Handling instructions</t>
  </si>
  <si>
    <t>Use and operation</t>
  </si>
  <si>
    <t>Cleaning and maintenance instructions</t>
  </si>
  <si>
    <t>Warranties</t>
  </si>
  <si>
    <t>Service life and expected use times</t>
  </si>
  <si>
    <t>Availability of spare parts</t>
  </si>
  <si>
    <t>Outside influences</t>
  </si>
  <si>
    <t>Manufacturing data</t>
  </si>
  <si>
    <t>Resource Criticality</t>
  </si>
  <si>
    <t>BIM Object</t>
  </si>
  <si>
    <t xml:space="preserve"> Responsible sourcing</t>
  </si>
  <si>
    <t>Digitalization</t>
  </si>
  <si>
    <t xml:space="preserve"> Technical drawings</t>
  </si>
  <si>
    <t>Ease of disassembly</t>
  </si>
  <si>
    <t>Component purity</t>
  </si>
  <si>
    <t>Remanufacturing systems</t>
  </si>
  <si>
    <t>Circular product design</t>
  </si>
  <si>
    <t>Take-back and non-destructive reclaim</t>
  </si>
  <si>
    <t>Recycling concepts</t>
  </si>
  <si>
    <t>Contamination</t>
  </si>
  <si>
    <t>Health and safety risks</t>
  </si>
  <si>
    <t>Test methods</t>
  </si>
  <si>
    <t>Product label &amp; Certification</t>
  </si>
  <si>
    <t>Recommended retail price per unit</t>
  </si>
  <si>
    <t>Manufacturing costs (sensitive data)</t>
  </si>
  <si>
    <t>Costs for maintenance and operation</t>
  </si>
  <si>
    <t>Costs for service models</t>
  </si>
  <si>
    <t>Costs for reuse, landfill…</t>
  </si>
  <si>
    <t>Transportation and handling costs</t>
  </si>
  <si>
    <t>Potential incomes depending on reuse scenarios</t>
  </si>
  <si>
    <t>Tax benefits</t>
  </si>
  <si>
    <t>Child labour</t>
  </si>
  <si>
    <t>Fair salary</t>
  </si>
  <si>
    <t>Forced labour</t>
  </si>
  <si>
    <t>Community engagement</t>
  </si>
  <si>
    <t>Cultural engagement</t>
  </si>
  <si>
    <t>Corruption</t>
  </si>
  <si>
    <t>Supplier relationships</t>
  </si>
  <si>
    <t>GWP</t>
  </si>
  <si>
    <t>Energy demand</t>
  </si>
  <si>
    <t>Abiotic depletion of fossil resources</t>
  </si>
  <si>
    <t>Acidification</t>
  </si>
  <si>
    <t>Stratosphere ozone depletion</t>
  </si>
  <si>
    <t>Photochemical ozone formation</t>
  </si>
  <si>
    <t>Eutrophication</t>
  </si>
  <si>
    <t>Abiotic resource use</t>
  </si>
  <si>
    <t>Biotic resource use</t>
  </si>
  <si>
    <t>Particulate matter formation</t>
  </si>
  <si>
    <t>Ecotoxicity</t>
  </si>
  <si>
    <t>Water scarcity</t>
  </si>
  <si>
    <t>Land use</t>
  </si>
  <si>
    <t>Noise impact</t>
  </si>
  <si>
    <t>Pathogens</t>
  </si>
  <si>
    <t>Ionising radiation</t>
  </si>
  <si>
    <t>Renewable / Non-renewable sources</t>
  </si>
  <si>
    <t>Manufacturer technical datasheet (TDS)</t>
  </si>
  <si>
    <t>Tests / Manufacturer technical datasheet (TDS)</t>
  </si>
  <si>
    <t>Visual inspection</t>
  </si>
  <si>
    <t>Manufacturer technical datasheet (TDS) / Maintenance registers / Visual inspection</t>
  </si>
  <si>
    <t>Visual inspection / Installation and operation manual (IOM)</t>
  </si>
  <si>
    <t>Installation and operation manual (IOM)</t>
  </si>
  <si>
    <t>Manufacturer declaration (self-declared)</t>
  </si>
  <si>
    <t>Manufacturer technical datasheet (TDS) / Manufacturer declaration (self-declared)</t>
  </si>
  <si>
    <t>Material Safety Data Sheet (MSDS)</t>
  </si>
  <si>
    <t>Maintenance registers / Visual inspection</t>
  </si>
  <si>
    <t>System assessment (LCA / LCC / SLCA)</t>
  </si>
  <si>
    <t>Manufacturer catalogue</t>
  </si>
  <si>
    <t>Manufacturer technical datasheet (TDS) / Material Safety Data Sheet (MSDS)</t>
  </si>
  <si>
    <t>Manufacturer technical datasheet (TDS) / Maintenance registers</t>
  </si>
  <si>
    <t xml:space="preserve">Material Safety Data Sheet (MSDS) / Installation and operation manual (IOM) / Manufacturer technical datasheet (TDS) </t>
  </si>
  <si>
    <t>Manufacturer declaration (self-declared) / General product information</t>
  </si>
  <si>
    <t>Certification (EPD, FSC, PEFC, C2C, Ecolabel…)</t>
  </si>
  <si>
    <t>Manufacturer declaration (self-declared) / Certification (EPD, FSC, PEFC, C2C, Ecolabel…)</t>
  </si>
  <si>
    <t>Manufacturer technical datasheet (TDS) / Manufacturer declaration (self-declared) / Certification (EPD, FSC, PEFC, C2C, Ecolabel…)</t>
  </si>
  <si>
    <t xml:space="preserve">Manufacturer technical datasheet (TDS) / Manufacturer declaration (self-declared) / Certification (EPD, FSC, PEFC, C2C, Ecolabel…) /  Installation and operation manual (IOM) </t>
  </si>
  <si>
    <t>Depends on the specific variable definition</t>
  </si>
  <si>
    <t xml:space="preserve">Manufacturer technical datasheet (TDS) </t>
  </si>
  <si>
    <t>Manufacturer technical datasheet (TDS)  / Installation &amp; Operation Manual (IOM)</t>
  </si>
  <si>
    <t>Manufacturer technical datasheet (TDS)  / Visual inspection</t>
  </si>
  <si>
    <t>Manufacturer technical datasheet (TDS) / Purchase note / Manufacturer Catalogue</t>
  </si>
  <si>
    <t>Manufacturer technical datasheet (TDS) / Installation and Operation Manual (IOM)  / Purchase note / Labels in the product</t>
  </si>
  <si>
    <t>Manufacturer technical datasheet (TDS) / Purchase note / Maintenance registers</t>
  </si>
  <si>
    <t>Manufacturer technical datasheet (TDS) /  Installation and Operation Manual (IOM) / Maintenance registers</t>
  </si>
  <si>
    <t>Maintenance registers</t>
  </si>
  <si>
    <t>Manufacturers catalogue / Visual inspection</t>
  </si>
  <si>
    <t xml:space="preserve"> Manufacturers catalogue / Purchase note / Labels in the product / Package labels</t>
  </si>
  <si>
    <t>Manufacturers catalogue / Manufacturer technical datasheet (TDS) / Installation and Operation Manual (IOM)</t>
  </si>
  <si>
    <t>External information</t>
  </si>
  <si>
    <t xml:space="preserve">Certification (EPD, FSC, PEFC, C2C, Ecolabel…) </t>
  </si>
  <si>
    <t>Manufacturer technical datasheet (TDS)  / Certification (EPD, FSC, PEFC, C2C, Ecolabel…) / Manufacturer declaration (self-declared)</t>
  </si>
  <si>
    <t xml:space="preserve">General market information (EU Critical raw materials' list) </t>
  </si>
  <si>
    <t>Manufacturers catalogue / BIM object platform</t>
  </si>
  <si>
    <t xml:space="preserve"> Installation and Operation Manual (IOM) / Maintenance registers</t>
  </si>
  <si>
    <t>Certification (EPD, FSC, PEFC, C2C, Ecolabel…) / Manufacturer declaration (self-declared)</t>
  </si>
  <si>
    <t>Manufacturer catalogue / Logistics data sheet / Manufacturers database</t>
  </si>
  <si>
    <t>Manufacturers database / Logistics company analysis / External and urban characteristics</t>
  </si>
  <si>
    <t xml:space="preserve"> Logistics company analysis / External and urban characteristics</t>
  </si>
  <si>
    <t>Material Safety Data Sheet (MSDS) / Labels on packages</t>
  </si>
  <si>
    <t xml:space="preserve"> Logistics company analysis</t>
  </si>
  <si>
    <t>Internal chanels</t>
  </si>
  <si>
    <t>Internal channels / Purchase note / Labels on packages</t>
  </si>
  <si>
    <t>Installation and Operation Manual (IOM) / Logistics company analysis</t>
  </si>
  <si>
    <t>Installation and Operation Manual (IOM) / Labels on packages</t>
  </si>
  <si>
    <t>Legal certification (CE, DoP, National technical approval …)</t>
  </si>
  <si>
    <t xml:space="preserve"> Installation and Operation Manual (IOM) / Manufacturers database / Logistics company analysis</t>
  </si>
  <si>
    <t>Geometric measurements defining the size of the product</t>
  </si>
  <si>
    <t>Mass of the product under standard delivery conditions</t>
  </si>
  <si>
    <t>Surface area of the product relevant for installation, performance or calculation purposes.</t>
  </si>
  <si>
    <t>Three-dimensional space occupied by the product</t>
  </si>
  <si>
    <t>Mass per unit volume of the product material.</t>
  </si>
  <si>
    <t>Other dimensional attributes not covered by standard geometric descriptors.</t>
  </si>
  <si>
    <t>Maximum compressive stress the product can withstand without failure.</t>
  </si>
  <si>
    <t>Ability of the product to support structural loads as intended.</t>
  </si>
  <si>
    <t>Capacity of the product to maintain equilibrium under applied loads and conditions.</t>
  </si>
  <si>
    <t>Mechanical resistance of the product to applied forces.</t>
  </si>
  <si>
    <t>Other structural performance parameters defined by the product specification.</t>
  </si>
  <si>
    <t>Thermal transmittance of the product, expressing heat flow through the element.</t>
  </si>
  <si>
    <t>Ability of the material to conduct heat.</t>
  </si>
  <si>
    <t>Capacity of the product to store and release thermal energy.</t>
  </si>
  <si>
    <t>Visual colour characteristics of the product surface.</t>
  </si>
  <si>
    <t>Visible structural or textural characteristics of the product.</t>
  </si>
  <si>
    <t>Surface finish and texture of the product.</t>
  </si>
  <si>
    <t>Ability of the product to transmit light or radiation.</t>
  </si>
  <si>
    <t>Degree to which light passes through the product without significant scattering.</t>
  </si>
  <si>
    <t>Proportion of incident light reflected by the product surface.</t>
  </si>
  <si>
    <t>Other optical properties relevant to product performance.</t>
  </si>
  <si>
    <t>Resistance of the product to water vapour diffusion.</t>
  </si>
  <si>
    <t>Capacity of the product to absorb moisture.</t>
  </si>
  <si>
    <t>Volume fraction of voids within the product material.</t>
  </si>
  <si>
    <t>Ability of the product to limit heat transfer during fire exposure.</t>
  </si>
  <si>
    <t>Capability of the product to maintain performance under fire conditions.</t>
  </si>
  <si>
    <t>Contribution of the product to air permeability or airtightness.</t>
  </si>
  <si>
    <t>Influence of the product on daylight transmission or distribution.</t>
  </si>
  <si>
    <t>Ability of the product to reduce sound transmission.</t>
  </si>
  <si>
    <t>Other building physics parameters not otherwise classified.</t>
  </si>
  <si>
    <t>Expected service life of the product under normal use and maintenance conditions.</t>
  </si>
  <si>
    <t>Degree to which the product can be disassembled without damage.</t>
  </si>
  <si>
    <t>Extent to which the product consists of separable, homogeneous materials.</t>
  </si>
  <si>
    <t>Availability of manufacturer-supported take-back or reclaim schemes.</t>
  </si>
  <si>
    <t>Existence of systems enabling remanufacturing of the product.</t>
  </si>
  <si>
    <t>Design features supporting reuse, repair, remanufacture or recycling.</t>
  </si>
  <si>
    <t>Defined pathways for recycling the product at end of life.</t>
  </si>
  <si>
    <t>Risks associated with handling, reuse or end-of-life processing.</t>
  </si>
  <si>
    <t>Other circularity-related attributes.</t>
  </si>
  <si>
    <t>Compliance with EU REACH regulation.</t>
  </si>
  <si>
    <t>Presence of substances classified as SVHC.</t>
  </si>
  <si>
    <t>Presence of substances classified as CMR.</t>
  </si>
  <si>
    <t>Compliance with EU Classification, Labelling and Packaging regulation.</t>
  </si>
  <si>
    <t>Compliance with Globally Harmonized System for chemical classification.</t>
  </si>
  <si>
    <t>Other relevant health and safety regulations.</t>
  </si>
  <si>
    <t>Health and safety aspects related to maintenance activities.</t>
  </si>
  <si>
    <t>Functions of the product that contribute positively to health or safety.</t>
  </si>
  <si>
    <t>Third-party certifications related to health, safety or sustainability.</t>
  </si>
  <si>
    <t>Potential toxic effects of product substances.</t>
  </si>
  <si>
    <t>Other composition-related attributes.</t>
  </si>
  <si>
    <t>Standard safety documentation describing chemical hazards.</t>
  </si>
  <si>
    <t>Other health and safety related information.</t>
  </si>
  <si>
    <t>Emission trading schemes related to manufacturing of the product</t>
  </si>
  <si>
    <t>Taxes related to resource extraction or use.</t>
  </si>
  <si>
    <t>Global Warming Potential of the product effect of manufacturing the product</t>
  </si>
  <si>
    <t>Total energy required for manufacturing the product</t>
  </si>
  <si>
    <t>Consumption of non-renewable fossil resources during manufacturing the product</t>
  </si>
  <si>
    <t>Contribution to acidification of ecosystems during manufacturing the product</t>
  </si>
  <si>
    <t>Impact on ozone layer depletion during manufacturing the product</t>
  </si>
  <si>
    <t>Contribution to smog formation during manufacturing the product</t>
  </si>
  <si>
    <t>Contribution to nutrient enrichment of ecosystems during manufacturing the product</t>
  </si>
  <si>
    <t>Consumption of non-living natural resources during manufacturing the product</t>
  </si>
  <si>
    <t>Consumption of biological resources during manufacturing the product</t>
  </si>
  <si>
    <t>Contribution to particulate emissions during manufacturing the product</t>
  </si>
  <si>
    <t>Toxic impacts on ecosystems during manufacturing the product</t>
  </si>
  <si>
    <t>Contribution to water scarcity during manufacturing the product</t>
  </si>
  <si>
    <t>Land occupation and transformation impactsduring manufacturing the product</t>
  </si>
  <si>
    <t>Noise-related environmental impactsduring manufacturing the product</t>
  </si>
  <si>
    <t>Potential biological hazards during manufacturing the product</t>
  </si>
  <si>
    <t>Exposure to ionising radiation during manufacturing the product</t>
  </si>
  <si>
    <t>Other environmental impact categories.</t>
  </si>
  <si>
    <t>Market price of the product per unit</t>
  </si>
  <si>
    <t>Costs associated with product manufacturing</t>
  </si>
  <si>
    <t>Operational and maintenance-related costs</t>
  </si>
  <si>
    <t>Costs linked to service-based business models</t>
  </si>
  <si>
    <t>End-of-life related costs.</t>
  </si>
  <si>
    <t>Costs for logistics and handling.</t>
  </si>
  <si>
    <t>Potential revenues from reuse or secondary markets.</t>
  </si>
  <si>
    <t>Economic implications of product lifespan.</t>
  </si>
  <si>
    <t>Applicable tax incentives.</t>
  </si>
  <si>
    <t>Warranty conditions and coverage.</t>
  </si>
  <si>
    <t>Accessibility of replacement parts.</t>
  </si>
  <si>
    <t>Other cost-related parameters.</t>
  </si>
  <si>
    <t>Risk or presence of child labour in the supply chain.</t>
  </si>
  <si>
    <t>Compliance with fair wage practices.</t>
  </si>
  <si>
    <t>Risk of forced labour.</t>
  </si>
  <si>
    <t>Occupational health and safety conditions.</t>
  </si>
  <si>
    <t>Transparency of business practices.</t>
  </si>
  <si>
    <t>Engagement with local communities.</t>
  </si>
  <si>
    <t>Respect for cultural practices.</t>
  </si>
  <si>
    <t>Risk of corrupt practices.</t>
  </si>
  <si>
    <t>Quality of relationships with suppliers.</t>
  </si>
  <si>
    <t>Other social indicators.</t>
  </si>
  <si>
    <t>Origin of materials in renewable or non-renewable resources.</t>
  </si>
  <si>
    <t>Whether biological materials are treated or untreated.</t>
  </si>
  <si>
    <t>Ability of the product to biologically decompose.</t>
  </si>
  <si>
    <t>Suitability of the product for recycling or reuse.</t>
  </si>
  <si>
    <t>Other biological attributes.</t>
  </si>
  <si>
    <t>List of materials and components constituting the product.</t>
  </si>
  <si>
    <t>Official commercial name of the product.</t>
  </si>
  <si>
    <t>Brand under which the product is marketed.</t>
  </si>
  <si>
    <t>Primary intended function of the product.</t>
  </si>
  <si>
    <t>Internal product reference assigned by the manufacturer.</t>
  </si>
  <si>
    <t>Legal name of the product manufacturer.</t>
  </si>
  <si>
    <t>Legal registration or certification reference.</t>
  </si>
  <si>
    <t>Country where the manufacturer is legally registered.</t>
  </si>
  <si>
    <t>Date of product manufacture.</t>
  </si>
  <si>
    <t>Anticipated duration of product performance.</t>
  </si>
  <si>
    <t>Year in which product data was generated or updated.</t>
  </si>
  <si>
    <t>Global Trade Item Number identifying the product.</t>
  </si>
  <si>
    <t>Chemical Abstracts Service identifier for substances.</t>
  </si>
  <si>
    <t>Visual representation of the product.</t>
  </si>
  <si>
    <t>Degree of material and component complexity.</t>
  </si>
  <si>
    <t>Other identification attributes.</t>
  </si>
  <si>
    <t>Digital representation of the product for BIM environments.</t>
  </si>
  <si>
    <t>Technical graphical documentation of the product.</t>
  </si>
  <si>
    <t>Other digital assets.</t>
  </si>
  <si>
    <t>Physical characteristics relevant for transportation.</t>
  </si>
  <si>
    <t>Types of vehicles required for transport.</t>
  </si>
  <si>
    <t>Labour resources required for handling.</t>
  </si>
  <si>
    <t>Tools required for handling or installation.</t>
  </si>
  <si>
    <t>Safety measures during transport and handling.</t>
  </si>
  <si>
    <t>Conditions required for storage.</t>
  </si>
  <si>
    <t>Analysis of material flows through logistics.</t>
  </si>
  <si>
    <t>Information exchange processes.</t>
  </si>
  <si>
    <t>Information on supply chain actors.</t>
  </si>
  <si>
    <t>Methods enabling product tracking.</t>
  </si>
  <si>
    <t>Packaging specifications for transport.</t>
  </si>
  <si>
    <t>Instructions for safe handling.</t>
  </si>
  <si>
    <t>Guidelines for product maintenance.</t>
  </si>
  <si>
    <t>Warranty conditions.</t>
  </si>
  <si>
    <t>Expected duration and usage patterns.</t>
  </si>
  <si>
    <t>Access to replacement components.</t>
  </si>
  <si>
    <t>External factors affecting performance.</t>
  </si>
  <si>
    <t>Other operational aspects.</t>
  </si>
  <si>
    <t>Identification values of the supply chain</t>
  </si>
  <si>
    <t>Environmental Product Declaration.</t>
  </si>
  <si>
    <t>Product Environmental Footprint.</t>
  </si>
  <si>
    <t>Environmental or quality labels applied to the product.</t>
  </si>
  <si>
    <t>Other certification or testing methods.</t>
  </si>
  <si>
    <t>Chemical resistance and stability of the product when exposed to environmental agents, chemicals, or operating conditions over its intended service life.</t>
  </si>
  <si>
    <t>Degree of supply risk and strategic importance of the materials contained in the product, considering scarcity, geopolitical dependence, and potential supply disruptions.</t>
  </si>
  <si>
    <t>Extent to which the product consists of chemically homogeneous components that can be separated and processed without significant contamination.</t>
  </si>
  <si>
    <t>Presence of chemical substances or material mixtures that may hinder recycling, reuse, or safe handling of the product.</t>
  </si>
  <si>
    <t>Potential chemical-related risks to human health or the environment arising during handling, use, recycling, or end-of-life processing of the product.</t>
  </si>
  <si>
    <t>Other chemical-related properties not covered by the defined categories.</t>
  </si>
  <si>
    <t>Share of recycled material incorporated into the product during manufacturing, distinguishing between pre-consumer and post-consumer sources where applicable.</t>
  </si>
  <si>
    <t>Assessment of the criticality of raw materials used in the product, based on their supply risk, economic importance, and strategic relevance.</t>
  </si>
  <si>
    <t>Extent to which raw materials and components used in the product are sourced according to environmental, social, and ethical standards</t>
  </si>
  <si>
    <t>Other material or product composition attributes related to production processes that are not covered by the defined variables</t>
  </si>
  <si>
    <t xml:space="preserve">Measurements </t>
  </si>
  <si>
    <t>Approximate Weight</t>
  </si>
  <si>
    <t>Thermal conductivity each material of the component</t>
  </si>
  <si>
    <t>Color</t>
  </si>
  <si>
    <t>Finishing</t>
  </si>
  <si>
    <t>Finishing Treatment</t>
  </si>
  <si>
    <t>N/A</t>
  </si>
  <si>
    <t>Fire resistance</t>
  </si>
  <si>
    <t>Air permeability</t>
  </si>
  <si>
    <t>Acoustic insulation</t>
  </si>
  <si>
    <t>Recycling options at the end of its second useful life</t>
  </si>
  <si>
    <t>Joined in one single category connected to an File attachment option:
The component accomplish with regulations</t>
  </si>
  <si>
    <t>Possible risks</t>
  </si>
  <si>
    <t>New element price (Market price)</t>
  </si>
  <si>
    <t>Actual price</t>
  </si>
  <si>
    <t xml:space="preserve">Different parameters:
Is it suitable for its original use?
Other possible uses </t>
  </si>
  <si>
    <t>Product Name</t>
  </si>
  <si>
    <t>Brand / Manufacturer</t>
  </si>
  <si>
    <t>Original function</t>
  </si>
  <si>
    <t>Other traceability instruments</t>
  </si>
  <si>
    <t>Related to:
Type of glass</t>
  </si>
  <si>
    <t>Different parameters:
Internal light reflection
External light refection</t>
  </si>
  <si>
    <t>Related to: 
Shadow Coefficient</t>
  </si>
  <si>
    <t>Light reflection</t>
  </si>
  <si>
    <t>Different parameters:
Light transmission
G Factor</t>
  </si>
  <si>
    <t>Different parameters:
Light transmission
G Factor
UV Protection</t>
  </si>
  <si>
    <t>Acoustic Pressure</t>
  </si>
  <si>
    <t>Eligible?</t>
  </si>
  <si>
    <t>BAMB</t>
  </si>
  <si>
    <t>Decision</t>
  </si>
  <si>
    <t>Has been selected?</t>
  </si>
  <si>
    <t>Process / Product</t>
  </si>
  <si>
    <t>Selected building elements: Adaptation of parameters</t>
  </si>
  <si>
    <t>Tarpaulins</t>
  </si>
  <si>
    <t>Group of Properties</t>
  </si>
  <si>
    <t>Source</t>
  </si>
  <si>
    <t>Direct / Documented</t>
  </si>
  <si>
    <t xml:space="preserve">A1 </t>
  </si>
  <si>
    <t>A2</t>
  </si>
  <si>
    <t>Inferred / Documented</t>
  </si>
  <si>
    <t>A3</t>
  </si>
  <si>
    <t>Testable / Documented</t>
  </si>
  <si>
    <t>Poorly documented</t>
  </si>
  <si>
    <t>A4</t>
  </si>
  <si>
    <t>System level / Value chain level</t>
  </si>
  <si>
    <t>A5</t>
  </si>
  <si>
    <t>ID</t>
  </si>
  <si>
    <t xml:space="preserve">Availability </t>
  </si>
  <si>
    <t>Description</t>
  </si>
  <si>
    <t>Elegibility</t>
  </si>
  <si>
    <t>Fully eligible</t>
  </si>
  <si>
    <t>E1</t>
  </si>
  <si>
    <t>Eligible with constraints</t>
  </si>
  <si>
    <t>E2</t>
  </si>
  <si>
    <t>Context-dependent</t>
  </si>
  <si>
    <t xml:space="preserve"> Not eligible</t>
  </si>
  <si>
    <t>Weak eligibility</t>
  </si>
  <si>
    <t>E4</t>
  </si>
  <si>
    <t>E5</t>
  </si>
  <si>
    <t>E3</t>
  </si>
  <si>
    <t>Valor</t>
  </si>
  <si>
    <t>S1</t>
  </si>
  <si>
    <t>S2</t>
  </si>
  <si>
    <t xml:space="preserve">Not selected </t>
  </si>
  <si>
    <t>S3</t>
  </si>
  <si>
    <t>Selection</t>
  </si>
  <si>
    <t>S4</t>
  </si>
  <si>
    <t>Visual inspection / Manufacturer technical datasheet (TDS)</t>
  </si>
  <si>
    <t>Chemical additives included in the product.</t>
  </si>
  <si>
    <t>Manufacturer technical datasheet (TDS) / Material Safety Data Sheet (MSDS) / Installation and Operation Manual (IOM)</t>
  </si>
  <si>
    <t xml:space="preserve"> Selected: Not modified</t>
  </si>
  <si>
    <t>A1E1 + A2E2 + A1E2 + A2E1</t>
  </si>
  <si>
    <t>A4E1 + A4E2 + A4E3</t>
  </si>
  <si>
    <t>Different parameters:
Brand / Manufacturer
Model / Reference</t>
  </si>
  <si>
    <t>Constituent chemical substances and materials composing the product.</t>
  </si>
  <si>
    <t>Divided into 2 parameters:
- Shipping weight
- Shipping dimensions</t>
  </si>
  <si>
    <t>Biodegradable component or material</t>
  </si>
  <si>
    <t>Visible in situ without testing, or generally available in existing documentation</t>
  </si>
  <si>
    <t>Not always documented, but can reasonably be inferred from building typology, construction period, applicable regulations, or visual inspection.</t>
  </si>
  <si>
    <t>May not be documented for all buildings (regardless of construction period), but can be obtained through testing, technical inspection, or feasible specific analysis.</t>
  </si>
  <si>
    <t>Rarely documented for buildings (regardless of construction period) and difficult or costly to infer reliably; would require ad hoc investigation.</t>
  </si>
  <si>
    <t>Not applicable at the product or material level in existing buildings; requires supply chain information or system-level data.</t>
  </si>
  <si>
    <t>Satisfies one or more of the following characteristics:
Directly related to the material or product. 
Measurable or verifiable. 
Relevant for circularity, health, environmental impact, or traceability.</t>
  </si>
  <si>
    <t>Satisfies one or more of the following characteristics:
Applicable only to certain elements or typologies. 
Generally verifiable through testing. 
Not universal across all materials within the scope.</t>
  </si>
  <si>
    <t>Satisfies one or more of the following characteristics:
Relevant but dependent on assumptions or partial data availability. 
Verifiable primarily or exclusively through testing. 
May require simplifications or proxies.</t>
  </si>
  <si>
    <t>Satisfies one or more of the following characteristics:
Indirectly related to the material or component. 
More closely linked to construction system design or manufacturing processes than to the material itself. 
Depends exclusively on information provided by the manufacturer.</t>
  </si>
  <si>
    <t>Parameter outside the scope of the material passport (too systemic, operational, or urban in nature).</t>
  </si>
  <si>
    <t>Selected as Variable depending on the component: may be modified depending on the data</t>
  </si>
  <si>
    <t>Selected as modified: The original parameter is considered relevant, but its definition is subdivided into simpler or more specific parameters to facilitate analysis, measurement, or applicability within the study.</t>
  </si>
  <si>
    <t>Plausible Definition</t>
  </si>
  <si>
    <t>Sub-category</t>
  </si>
  <si>
    <t>Fire doors</t>
  </si>
  <si>
    <t>On-site measurement / Technical drawings (CAD or BIM) / Manufacturer technical datasheet (TDS)</t>
  </si>
  <si>
    <t>Visual inspection  / Manufacturer technical datasheet (TDS)</t>
  </si>
  <si>
    <t>May be contaminating</t>
  </si>
  <si>
    <t>Surface of each layer/material of the component</t>
  </si>
  <si>
    <t>Volume of each layer/material of the component</t>
  </si>
  <si>
    <t>Glasses</t>
  </si>
  <si>
    <t>Metal structure pillar</t>
  </si>
  <si>
    <t>Heat pumps</t>
  </si>
  <si>
    <t>Steel roll-up shutters</t>
  </si>
  <si>
    <t>Imagen del componente</t>
  </si>
  <si>
    <t>Three different paramenters:
Purchase year and Previous installation year 
Estimated previous years of use
Estimated remaining lifespan</t>
  </si>
  <si>
    <t>Shipping recommendations</t>
  </si>
  <si>
    <t>Material density</t>
  </si>
  <si>
    <t xml:space="preserve">Technical DataSheet /  Manufacturer declaration (self-declared)  / Certification (EPD, FSC, PEFC, C2C, Ecolabel…) </t>
  </si>
  <si>
    <t>Materials [1…N]</t>
  </si>
  <si>
    <t>Material [1..N]</t>
  </si>
  <si>
    <t>Two different paramenters: 1. It provides information on the chemical composition or the presence of additives in the materials, and 2. Files associated with documents containing information on chemical composition or additives</t>
  </si>
  <si>
    <t>Estimated remaining lifespan</t>
  </si>
  <si>
    <t>Divided into 2 parameters:
Is the BIM object available?
If so, BIM object file</t>
  </si>
  <si>
    <t>Divided into 2 parameters:
Are the graphical documents available?
If so, graphical documents files</t>
  </si>
  <si>
    <t xml:space="preserve">Protection during storage </t>
  </si>
  <si>
    <t>A1</t>
  </si>
  <si>
    <t>Selected</t>
  </si>
  <si>
    <t>Different parameters:
Possible presence of substances that pose a risk to human health
Files associated with regulatory compliance documents</t>
  </si>
  <si>
    <t>Different parameters:
Complies with current regulations regarding hazardous substances
Files associated with regulatory compliance documents</t>
  </si>
  <si>
    <t>Material Safety Data Sheet (MSDS) / DoP (Declaration of Performance)</t>
  </si>
  <si>
    <t>Manufacturer technical datasheet (TDS) / Material Safety Data Sheet (MSDS) / DoP (Declaration of Performance)</t>
  </si>
  <si>
    <t xml:space="preserve">Different parameters:
Availability of information on the chemical composition or the presence of additives in materials
Documents providing information on chemical composition, presence of additives, and hazardous substances </t>
  </si>
  <si>
    <t xml:space="preserve">Different parameters:
Availability of information on the chemical composition or the presence of additives in materials
Documents providing information on chemical composition, presence of additives, and hazardous substances  </t>
  </si>
  <si>
    <t>Different parameters:
Possible presence of hazardous substances or materials
Names associated with documents providing information on chemical composition, presence of additives, and hazardous substances</t>
  </si>
  <si>
    <t xml:space="preserve">Different parameters:
Possible presence of hazardous substances or materials
Names associated with documents providing information on chemical composition, presence of additives, and hazardous substances </t>
  </si>
  <si>
    <t>Different parameters:
Availability of information on the chemical composition or the presence of additives in materials
Names associated with documents providing information on chemical composition, presence of additives, and hazardous substances</t>
  </si>
  <si>
    <t>Estimated previous years of use
Estimated remaining lifespan</t>
  </si>
  <si>
    <t>Related to: 
Stiffness</t>
  </si>
  <si>
    <t>Related to: 
Yield strength
Measurements</t>
  </si>
  <si>
    <t>Related to: 
Yield strength</t>
  </si>
  <si>
    <t>Related to: 
Yield strength
Tensile strength
Test reports</t>
  </si>
  <si>
    <t xml:space="preserve">Related to:
Impact resistance
Test reports
</t>
  </si>
  <si>
    <t>Related to:
Tensile strength
Tear resistance
Puncture resistance
Test reports</t>
  </si>
  <si>
    <t>Test reports</t>
  </si>
  <si>
    <t>Maintenance actions to be performed</t>
  </si>
  <si>
    <t>Different parameters:
Maintenance actions to be performed
Previous modifications</t>
  </si>
  <si>
    <t xml:space="preserve">Thermal transmittance of the component </t>
  </si>
  <si>
    <t>Availability \ Eligibility</t>
  </si>
  <si>
    <t>A5E5 + A5E4 + A5E3 + A5E2 + A5E1 +  A4E5 + A3E5 + A2E5 + A1E5 + A4E4 + A3E4 + A2E4 + A1E4</t>
  </si>
  <si>
    <t>A3E1 + A3E2 + A3E3 + A1E3 + A2E3</t>
  </si>
  <si>
    <t xml:space="preserve">
Documented for transparency
A &lt; 2  OR  E &lt; 3
</t>
  </si>
  <si>
    <r>
      <t xml:space="preserve">Core parameter
A ≥ 4  AND </t>
    </r>
    <r>
      <rPr>
        <sz val="11"/>
        <color theme="1"/>
        <rFont val="Aptos Narrow"/>
        <family val="2"/>
      </rPr>
      <t xml:space="preserve">E ≥ 4
</t>
    </r>
  </si>
  <si>
    <t xml:space="preserve">Conditional
(A = 3 AND E ≥ 3) 
OR 
(A≥ 4 AND E = 3)
</t>
  </si>
  <si>
    <t>Conditional
A = 2 AND E ≥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</si>
</sst>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i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57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5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nçal Costa Jutglar" id="{9CA9FCA0-9068-4F1C-A9DC-5ED63D557551}" userId="S::goncal.costa@salle.url.edu::6797cb72-3b2b-459a-8e10-e4ca62e1877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B86358-F291-458D-9579-C1ADC0FEC4AC}" name="Tabla15" displayName="Tabla15" ref="A1:D6" totalsRowShown="0" headerRowDxfId="9">
  <autoFilter ref="A1:D6" xr:uid="{77DA288A-3BE1-4955-8F6A-BB25E8B7EC3E}"/>
  <tableColumns count="4">
    <tableColumn id="1" xr3:uid="{08B8C73F-603D-4C64-A40D-DAC657216E96}" name="ID" dataDxfId="8"/>
    <tableColumn id="2" xr3:uid="{22931BC1-952D-45AF-8325-27B813A431A3}" name="Availability "/>
    <tableColumn id="3" xr3:uid="{4EC119E8-463E-41C1-BF5B-BD1927B4A577}" name="Description"/>
    <tableColumn id="4" xr3:uid="{196FB6C4-D1DB-4CE5-BF33-8FB3508B98E3}" name="Valor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5E94E1-DB66-4E74-B27C-7C0667D49543}" name="Tabla26" displayName="Tabla26" ref="A8:D13" totalsRowShown="0">
  <autoFilter ref="A8:D13" xr:uid="{0CB0D400-2208-4B94-9FC1-0C0F3CCB2C6B}"/>
  <tableColumns count="4">
    <tableColumn id="1" xr3:uid="{71B73FBC-2EA3-4EC2-82F6-FFF4718ADB3D}" name="ID" dataDxfId="6"/>
    <tableColumn id="2" xr3:uid="{4BBBD71B-A2BA-4009-9F67-1C1B92CD43D4}" name="Elegibility" dataDxfId="5"/>
    <tableColumn id="3" xr3:uid="{EB12ABDD-2B18-4A9B-9CF2-40FB3F5E454F}" name="Description" dataDxfId="4"/>
    <tableColumn id="4" xr3:uid="{7C6F3A06-C864-4A75-B3FE-2D2A6FF95DCC}" name="Valor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A12E0A-C7A8-4BAB-8CF0-95D0805AACDE}" name="Tabla37" displayName="Tabla37" ref="A18:C22" totalsRowShown="0">
  <autoFilter ref="A18:C22" xr:uid="{45C56EC4-4A03-47B7-99F5-C48D32C773AD}"/>
  <tableColumns count="3">
    <tableColumn id="1" xr3:uid="{C00D7BE2-892C-4F76-855B-470A6DCCCA17}" name="ID" dataDxfId="2"/>
    <tableColumn id="2" xr3:uid="{78F5B7A0-2E97-46A6-AEAC-27362271EA53}" name="Selection" dataDxfId="1"/>
    <tableColumn id="3" xr3:uid="{DB187DE9-EAED-4733-A9D3-ADDD0FDF3587}" name="Descrip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2" dT="2026-05-09T20:06:24.95" personId="{9CA9FCA0-9068-4F1C-A9DC-5ED63D557551}" id="{2B632454-EAF5-4725-904F-1AD67A23571B}">
    <text>¿Diferencia con “Dimensions and weight”?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0136-CF3A-47E6-97EC-038E0E0661AD}">
  <dimension ref="A1:P156"/>
  <sheetViews>
    <sheetView zoomScale="70" zoomScaleNormal="70" workbookViewId="0">
      <pane ySplit="2" topLeftCell="A3" activePane="bottomLeft" state="frozen"/>
      <selection pane="bottomLeft" activeCell="A2" sqref="A2"/>
    </sheetView>
  </sheetViews>
  <sheetFormatPr baseColWidth="10" defaultColWidth="37" defaultRowHeight="14.5" x14ac:dyDescent="0.35"/>
  <cols>
    <col min="1" max="1" width="12.81640625" bestFit="1" customWidth="1"/>
    <col min="2" max="2" width="20" customWidth="1"/>
    <col min="3" max="3" width="18.26953125" style="1" bestFit="1" customWidth="1"/>
    <col min="4" max="4" width="25.26953125" style="5" customWidth="1"/>
    <col min="5" max="5" width="37.08984375" style="7" customWidth="1"/>
    <col min="6" max="6" width="37.08984375" style="6" customWidth="1"/>
    <col min="7" max="7" width="16.6328125" style="23" customWidth="1"/>
    <col min="8" max="8" width="13.36328125" style="3" bestFit="1" customWidth="1"/>
    <col min="9" max="9" width="17.7265625" style="3" customWidth="1"/>
    <col min="10" max="10" width="40.6328125" style="4" customWidth="1"/>
    <col min="11" max="15" width="40.6328125" customWidth="1"/>
    <col min="16" max="16" width="11.7265625" style="23" customWidth="1"/>
    <col min="17" max="17" width="9.7265625" customWidth="1"/>
    <col min="18" max="18" width="10.08984375" customWidth="1"/>
    <col min="19" max="19" width="10.36328125" customWidth="1"/>
    <col min="20" max="20" width="11" customWidth="1"/>
    <col min="21" max="21" width="11.08984375" customWidth="1"/>
  </cols>
  <sheetData>
    <row r="1" spans="1:16" x14ac:dyDescent="0.35">
      <c r="A1" s="87" t="s">
        <v>390</v>
      </c>
      <c r="B1" s="88"/>
      <c r="C1" s="88"/>
      <c r="D1" s="88"/>
      <c r="E1" s="88"/>
      <c r="F1" s="19" t="s">
        <v>397</v>
      </c>
      <c r="G1" s="90" t="s">
        <v>391</v>
      </c>
      <c r="H1" s="91"/>
      <c r="I1" s="62"/>
      <c r="J1" s="87" t="s">
        <v>394</v>
      </c>
      <c r="K1" s="88"/>
      <c r="L1" s="88"/>
      <c r="M1" s="88"/>
      <c r="N1" s="88"/>
      <c r="O1" s="89"/>
    </row>
    <row r="2" spans="1:16" s="2" customFormat="1" ht="29" x14ac:dyDescent="0.35">
      <c r="A2" s="25" t="s">
        <v>393</v>
      </c>
      <c r="B2" s="69" t="s">
        <v>396</v>
      </c>
      <c r="C2" s="69" t="s">
        <v>20</v>
      </c>
      <c r="D2" s="69" t="s">
        <v>452</v>
      </c>
      <c r="E2" s="70" t="s">
        <v>451</v>
      </c>
      <c r="F2" s="26" t="s">
        <v>0</v>
      </c>
      <c r="G2" s="25" t="s">
        <v>1</v>
      </c>
      <c r="H2" s="66" t="s">
        <v>389</v>
      </c>
      <c r="I2" s="66" t="s">
        <v>392</v>
      </c>
      <c r="J2" s="49" t="s">
        <v>453</v>
      </c>
      <c r="K2" s="81" t="s">
        <v>460</v>
      </c>
      <c r="L2" s="81" t="s">
        <v>459</v>
      </c>
      <c r="M2" s="81" t="s">
        <v>395</v>
      </c>
      <c r="N2" s="81" t="s">
        <v>461</v>
      </c>
      <c r="O2" s="27" t="s">
        <v>462</v>
      </c>
      <c r="P2" s="57" t="s">
        <v>476</v>
      </c>
    </row>
    <row r="3" spans="1:16" ht="43.5" x14ac:dyDescent="0.35">
      <c r="A3" s="12" t="s">
        <v>22</v>
      </c>
      <c r="B3" s="2" t="s">
        <v>23</v>
      </c>
      <c r="C3" s="7" t="s">
        <v>2</v>
      </c>
      <c r="D3" s="5" t="s">
        <v>50</v>
      </c>
      <c r="E3" s="7" t="s">
        <v>212</v>
      </c>
      <c r="F3" s="20" t="s">
        <v>454</v>
      </c>
      <c r="G3" s="68" t="s">
        <v>475</v>
      </c>
      <c r="H3" s="3" t="s">
        <v>413</v>
      </c>
      <c r="I3" s="8" t="str">
        <f>_xlfn.LET(
_xlpm.A,6-VALUE(RIGHT(TRIM(CLEAN(G3)),1)),
_xlpm.E,6-VALUE(RIGHT(TRIM(CLEAN(H3)),1)),
IF(AND(_xlpm.A&gt;=4,_xlpm.E&gt;=4),"S1",
IF(OR(AND(_xlpm.A=3,_xlpm.E&gt;=3),AND(_xlpm.A&gt;=4,_xlpm.E=3)),"S2",
IF(AND(_xlpm.A=2,_xlpm.E&gt;=3),"S3",
"S4"))))</f>
        <v>S1</v>
      </c>
      <c r="J3" s="50" t="s">
        <v>362</v>
      </c>
      <c r="K3" s="71" t="s">
        <v>362</v>
      </c>
      <c r="L3" s="71" t="s">
        <v>362</v>
      </c>
      <c r="M3" s="71" t="s">
        <v>362</v>
      </c>
      <c r="N3" s="71" t="s">
        <v>362</v>
      </c>
      <c r="O3" s="43" t="s">
        <v>362</v>
      </c>
      <c r="P3" s="23">
        <v>1</v>
      </c>
    </row>
    <row r="4" spans="1:16" ht="43.5" x14ac:dyDescent="0.35">
      <c r="A4" s="12" t="s">
        <v>22</v>
      </c>
      <c r="B4" s="2" t="s">
        <v>23</v>
      </c>
      <c r="C4" s="7" t="s">
        <v>2</v>
      </c>
      <c r="D4" s="5" t="s">
        <v>3</v>
      </c>
      <c r="E4" s="7" t="s">
        <v>213</v>
      </c>
      <c r="F4" s="20" t="s">
        <v>454</v>
      </c>
      <c r="G4" s="28" t="s">
        <v>400</v>
      </c>
      <c r="H4" s="3" t="s">
        <v>415</v>
      </c>
      <c r="I4" s="8" t="str">
        <f t="shared" ref="I4:I67" si="0">_xlfn.LET(
_xlpm.A,6-VALUE(RIGHT(TRIM(CLEAN(G4)),1)),
_xlpm.E,6-VALUE(RIGHT(TRIM(CLEAN(H4)),1)),
IF(AND(_xlpm.A&gt;=4,_xlpm.E&gt;=4),"S1",
IF(OR(AND(_xlpm.A=3,_xlpm.E&gt;=3),AND(_xlpm.A&gt;=4,_xlpm.E=3)),"S2",
IF(AND(_xlpm.A=2,_xlpm.E&gt;=3),"S3",
"S4"))))</f>
        <v>S1</v>
      </c>
      <c r="J4" s="50" t="s">
        <v>363</v>
      </c>
      <c r="K4" s="71" t="s">
        <v>363</v>
      </c>
      <c r="L4" s="71" t="s">
        <v>363</v>
      </c>
      <c r="M4" s="71" t="s">
        <v>363</v>
      </c>
      <c r="N4" s="71" t="s">
        <v>363</v>
      </c>
      <c r="O4" s="43" t="s">
        <v>363</v>
      </c>
      <c r="P4" s="23">
        <v>1</v>
      </c>
    </row>
    <row r="5" spans="1:16" ht="43.5" x14ac:dyDescent="0.35">
      <c r="A5" s="12" t="s">
        <v>22</v>
      </c>
      <c r="B5" s="2" t="s">
        <v>23</v>
      </c>
      <c r="C5" s="7" t="s">
        <v>2</v>
      </c>
      <c r="D5" s="5" t="s">
        <v>51</v>
      </c>
      <c r="E5" s="7" t="s">
        <v>214</v>
      </c>
      <c r="F5" s="20" t="s">
        <v>454</v>
      </c>
      <c r="G5" s="68" t="s">
        <v>475</v>
      </c>
      <c r="H5" s="3" t="s">
        <v>413</v>
      </c>
      <c r="I5" s="8" t="str">
        <f t="shared" si="0"/>
        <v>S1</v>
      </c>
      <c r="J5" s="51" t="s">
        <v>457</v>
      </c>
      <c r="K5" s="72" t="s">
        <v>457</v>
      </c>
      <c r="L5" s="72" t="s">
        <v>457</v>
      </c>
      <c r="M5" s="72" t="s">
        <v>457</v>
      </c>
      <c r="N5" s="72" t="s">
        <v>457</v>
      </c>
      <c r="O5" s="44" t="s">
        <v>457</v>
      </c>
      <c r="P5" s="23">
        <v>1</v>
      </c>
    </row>
    <row r="6" spans="1:16" ht="43.5" x14ac:dyDescent="0.35">
      <c r="A6" s="12" t="s">
        <v>22</v>
      </c>
      <c r="B6" s="2" t="s">
        <v>23</v>
      </c>
      <c r="C6" s="7" t="s">
        <v>2</v>
      </c>
      <c r="D6" s="5" t="s">
        <v>52</v>
      </c>
      <c r="E6" s="7" t="s">
        <v>215</v>
      </c>
      <c r="F6" s="20" t="s">
        <v>454</v>
      </c>
      <c r="G6" s="68" t="s">
        <v>475</v>
      </c>
      <c r="H6" s="3" t="s">
        <v>415</v>
      </c>
      <c r="I6" s="8" t="str">
        <f t="shared" si="0"/>
        <v>S1</v>
      </c>
      <c r="J6" s="51" t="s">
        <v>458</v>
      </c>
      <c r="K6" s="72" t="s">
        <v>458</v>
      </c>
      <c r="L6" s="72" t="s">
        <v>458</v>
      </c>
      <c r="M6" s="72" t="s">
        <v>458</v>
      </c>
      <c r="N6" s="72" t="s">
        <v>458</v>
      </c>
      <c r="O6" s="44" t="s">
        <v>458</v>
      </c>
      <c r="P6" s="23">
        <v>1</v>
      </c>
    </row>
    <row r="7" spans="1:16" ht="43.5" x14ac:dyDescent="0.35">
      <c r="A7" s="46" t="s">
        <v>22</v>
      </c>
      <c r="B7" s="73" t="s">
        <v>23</v>
      </c>
      <c r="C7" s="74" t="s">
        <v>2</v>
      </c>
      <c r="D7" s="75" t="s">
        <v>4</v>
      </c>
      <c r="E7" s="74" t="s">
        <v>216</v>
      </c>
      <c r="F7" s="56" t="s">
        <v>454</v>
      </c>
      <c r="G7" s="45" t="s">
        <v>400</v>
      </c>
      <c r="H7" s="67" t="s">
        <v>421</v>
      </c>
      <c r="I7" s="10" t="str">
        <f t="shared" si="0"/>
        <v>S2</v>
      </c>
      <c r="J7" s="54" t="s">
        <v>466</v>
      </c>
      <c r="K7" s="71" t="s">
        <v>368</v>
      </c>
      <c r="L7" s="71" t="s">
        <v>368</v>
      </c>
      <c r="M7" s="76" t="s">
        <v>466</v>
      </c>
      <c r="N7" s="71" t="s">
        <v>368</v>
      </c>
      <c r="O7" s="43" t="s">
        <v>368</v>
      </c>
      <c r="P7" s="23">
        <v>1</v>
      </c>
    </row>
    <row r="8" spans="1:16" ht="29" x14ac:dyDescent="0.35">
      <c r="A8" s="12" t="s">
        <v>22</v>
      </c>
      <c r="B8" s="2" t="s">
        <v>23</v>
      </c>
      <c r="C8" s="7" t="s">
        <v>2</v>
      </c>
      <c r="D8" s="5" t="s">
        <v>10</v>
      </c>
      <c r="E8" s="7" t="s">
        <v>217</v>
      </c>
      <c r="F8" s="21" t="s">
        <v>182</v>
      </c>
      <c r="G8" s="28" t="s">
        <v>407</v>
      </c>
      <c r="H8" s="3" t="s">
        <v>420</v>
      </c>
      <c r="I8" s="31" t="str">
        <f t="shared" si="0"/>
        <v>S4</v>
      </c>
      <c r="J8" s="52" t="s">
        <v>368</v>
      </c>
      <c r="K8" s="77" t="s">
        <v>368</v>
      </c>
      <c r="L8" s="77" t="s">
        <v>368</v>
      </c>
      <c r="M8" s="77" t="s">
        <v>368</v>
      </c>
      <c r="N8" s="77" t="s">
        <v>368</v>
      </c>
      <c r="O8" s="32" t="s">
        <v>368</v>
      </c>
    </row>
    <row r="9" spans="1:16" ht="29" x14ac:dyDescent="0.35">
      <c r="A9" s="12" t="s">
        <v>22</v>
      </c>
      <c r="B9" s="2" t="s">
        <v>23</v>
      </c>
      <c r="C9" s="7" t="s">
        <v>24</v>
      </c>
      <c r="D9" s="75" t="s">
        <v>53</v>
      </c>
      <c r="E9" s="7" t="s">
        <v>218</v>
      </c>
      <c r="F9" s="21" t="s">
        <v>163</v>
      </c>
      <c r="G9" s="29" t="s">
        <v>402</v>
      </c>
      <c r="H9" s="3" t="s">
        <v>421</v>
      </c>
      <c r="I9" s="9" t="str">
        <f t="shared" si="0"/>
        <v>S2</v>
      </c>
      <c r="J9" s="50" t="s">
        <v>368</v>
      </c>
      <c r="K9" s="76" t="s">
        <v>489</v>
      </c>
      <c r="L9" s="71" t="s">
        <v>368</v>
      </c>
      <c r="M9" s="71" t="s">
        <v>368</v>
      </c>
      <c r="N9" s="71" t="s">
        <v>368</v>
      </c>
      <c r="O9" s="43" t="s">
        <v>368</v>
      </c>
      <c r="P9" s="23">
        <v>1</v>
      </c>
    </row>
    <row r="10" spans="1:16" ht="43.5" x14ac:dyDescent="0.35">
      <c r="A10" s="12" t="s">
        <v>22</v>
      </c>
      <c r="B10" s="2" t="s">
        <v>23</v>
      </c>
      <c r="C10" s="7" t="s">
        <v>24</v>
      </c>
      <c r="D10" s="75" t="s">
        <v>54</v>
      </c>
      <c r="E10" s="7" t="s">
        <v>219</v>
      </c>
      <c r="F10" s="21" t="s">
        <v>163</v>
      </c>
      <c r="G10" s="29" t="s">
        <v>402</v>
      </c>
      <c r="H10" s="3" t="s">
        <v>421</v>
      </c>
      <c r="I10" s="9" t="str">
        <f t="shared" si="0"/>
        <v>S2</v>
      </c>
      <c r="J10" s="50" t="s">
        <v>368</v>
      </c>
      <c r="K10" s="76" t="s">
        <v>488</v>
      </c>
      <c r="L10" s="71" t="s">
        <v>368</v>
      </c>
      <c r="M10" s="71" t="s">
        <v>368</v>
      </c>
      <c r="N10" s="71" t="s">
        <v>368</v>
      </c>
      <c r="O10" s="43" t="s">
        <v>368</v>
      </c>
      <c r="P10" s="23">
        <v>1</v>
      </c>
    </row>
    <row r="11" spans="1:16" ht="43.5" x14ac:dyDescent="0.35">
      <c r="A11" s="12" t="s">
        <v>22</v>
      </c>
      <c r="B11" s="2" t="s">
        <v>23</v>
      </c>
      <c r="C11" s="7" t="s">
        <v>24</v>
      </c>
      <c r="D11" s="75" t="s">
        <v>55</v>
      </c>
      <c r="E11" s="7" t="s">
        <v>220</v>
      </c>
      <c r="F11" s="21" t="s">
        <v>163</v>
      </c>
      <c r="G11" s="29" t="s">
        <v>402</v>
      </c>
      <c r="H11" s="3" t="s">
        <v>421</v>
      </c>
      <c r="I11" s="9" t="str">
        <f t="shared" si="0"/>
        <v>S2</v>
      </c>
      <c r="J11" s="50" t="s">
        <v>368</v>
      </c>
      <c r="K11" s="76" t="s">
        <v>487</v>
      </c>
      <c r="L11" s="71" t="s">
        <v>368</v>
      </c>
      <c r="M11" s="71" t="s">
        <v>368</v>
      </c>
      <c r="N11" s="71" t="s">
        <v>368</v>
      </c>
      <c r="O11" s="43" t="s">
        <v>368</v>
      </c>
      <c r="P11" s="23">
        <v>1</v>
      </c>
    </row>
    <row r="12" spans="1:16" ht="72.5" x14ac:dyDescent="0.35">
      <c r="A12" s="12" t="s">
        <v>22</v>
      </c>
      <c r="B12" s="2" t="s">
        <v>23</v>
      </c>
      <c r="C12" s="7" t="s">
        <v>24</v>
      </c>
      <c r="D12" s="75" t="s">
        <v>56</v>
      </c>
      <c r="E12" s="7" t="s">
        <v>221</v>
      </c>
      <c r="F12" s="21" t="s">
        <v>163</v>
      </c>
      <c r="G12" s="29" t="s">
        <v>402</v>
      </c>
      <c r="H12" s="3" t="s">
        <v>421</v>
      </c>
      <c r="I12" s="9" t="str">
        <f t="shared" si="0"/>
        <v>S2</v>
      </c>
      <c r="J12" s="50" t="s">
        <v>368</v>
      </c>
      <c r="K12" s="76" t="s">
        <v>490</v>
      </c>
      <c r="L12" s="72" t="s">
        <v>491</v>
      </c>
      <c r="M12" s="72" t="s">
        <v>492</v>
      </c>
      <c r="N12" s="71" t="s">
        <v>368</v>
      </c>
      <c r="O12" s="43" t="s">
        <v>368</v>
      </c>
      <c r="P12" s="23">
        <v>1</v>
      </c>
    </row>
    <row r="13" spans="1:16" ht="29" x14ac:dyDescent="0.35">
      <c r="A13" s="12" t="s">
        <v>22</v>
      </c>
      <c r="B13" s="2" t="s">
        <v>23</v>
      </c>
      <c r="C13" s="7" t="s">
        <v>24</v>
      </c>
      <c r="D13" s="5" t="s">
        <v>10</v>
      </c>
      <c r="E13" s="7" t="s">
        <v>222</v>
      </c>
      <c r="F13" s="21" t="s">
        <v>182</v>
      </c>
      <c r="G13" s="29" t="s">
        <v>407</v>
      </c>
      <c r="H13" s="3" t="s">
        <v>420</v>
      </c>
      <c r="I13" s="31" t="str">
        <f t="shared" si="0"/>
        <v>S4</v>
      </c>
      <c r="J13" s="52" t="s">
        <v>368</v>
      </c>
      <c r="K13" s="77" t="s">
        <v>368</v>
      </c>
      <c r="L13" s="77" t="s">
        <v>368</v>
      </c>
      <c r="M13" s="77" t="s">
        <v>368</v>
      </c>
      <c r="N13" s="77" t="s">
        <v>368</v>
      </c>
      <c r="O13" s="32" t="s">
        <v>368</v>
      </c>
    </row>
    <row r="14" spans="1:16" ht="29" x14ac:dyDescent="0.35">
      <c r="A14" s="12" t="s">
        <v>22</v>
      </c>
      <c r="B14" s="2" t="s">
        <v>23</v>
      </c>
      <c r="C14" s="74" t="s">
        <v>25</v>
      </c>
      <c r="D14" s="5" t="s">
        <v>57</v>
      </c>
      <c r="E14" s="7" t="s">
        <v>223</v>
      </c>
      <c r="F14" s="20" t="s">
        <v>162</v>
      </c>
      <c r="G14" s="29" t="s">
        <v>402</v>
      </c>
      <c r="H14" s="3" t="s">
        <v>415</v>
      </c>
      <c r="I14" s="9" t="str">
        <f t="shared" si="0"/>
        <v>S2</v>
      </c>
      <c r="J14" s="51" t="s">
        <v>496</v>
      </c>
      <c r="K14" s="71" t="s">
        <v>368</v>
      </c>
      <c r="L14" s="72" t="s">
        <v>496</v>
      </c>
      <c r="M14" s="72" t="s">
        <v>496</v>
      </c>
      <c r="N14" s="71" t="s">
        <v>368</v>
      </c>
      <c r="O14" s="43" t="s">
        <v>368</v>
      </c>
      <c r="P14" s="23">
        <v>1</v>
      </c>
    </row>
    <row r="15" spans="1:16" ht="29" x14ac:dyDescent="0.35">
      <c r="A15" s="12" t="s">
        <v>22</v>
      </c>
      <c r="B15" s="2" t="s">
        <v>23</v>
      </c>
      <c r="C15" s="74" t="s">
        <v>25</v>
      </c>
      <c r="D15" s="5" t="s">
        <v>8</v>
      </c>
      <c r="E15" s="7" t="s">
        <v>224</v>
      </c>
      <c r="F15" s="20" t="s">
        <v>162</v>
      </c>
      <c r="G15" s="29" t="s">
        <v>402</v>
      </c>
      <c r="H15" s="3" t="s">
        <v>415</v>
      </c>
      <c r="I15" s="9" t="str">
        <f t="shared" si="0"/>
        <v>S2</v>
      </c>
      <c r="J15" s="51" t="s">
        <v>364</v>
      </c>
      <c r="K15" s="71" t="s">
        <v>368</v>
      </c>
      <c r="L15" s="71" t="s">
        <v>368</v>
      </c>
      <c r="M15" s="71" t="s">
        <v>368</v>
      </c>
      <c r="N15" s="71" t="s">
        <v>368</v>
      </c>
      <c r="O15" s="43" t="s">
        <v>368</v>
      </c>
      <c r="P15" s="23">
        <v>1</v>
      </c>
    </row>
    <row r="16" spans="1:16" ht="29" x14ac:dyDescent="0.35">
      <c r="A16" s="12" t="s">
        <v>22</v>
      </c>
      <c r="B16" s="2" t="s">
        <v>23</v>
      </c>
      <c r="C16" s="74" t="s">
        <v>25</v>
      </c>
      <c r="D16" s="5" t="s">
        <v>6</v>
      </c>
      <c r="E16" s="7" t="s">
        <v>225</v>
      </c>
      <c r="F16" s="20" t="s">
        <v>162</v>
      </c>
      <c r="G16" s="29" t="s">
        <v>405</v>
      </c>
      <c r="H16" s="3" t="s">
        <v>419</v>
      </c>
      <c r="I16" s="31" t="str">
        <f t="shared" si="0"/>
        <v>S4</v>
      </c>
      <c r="J16" s="52" t="s">
        <v>368</v>
      </c>
      <c r="K16" s="77" t="s">
        <v>368</v>
      </c>
      <c r="L16" s="77" t="s">
        <v>368</v>
      </c>
      <c r="M16" s="77" t="s">
        <v>368</v>
      </c>
      <c r="N16" s="77" t="s">
        <v>368</v>
      </c>
      <c r="O16" s="32" t="s">
        <v>368</v>
      </c>
    </row>
    <row r="17" spans="1:16" ht="29" x14ac:dyDescent="0.35">
      <c r="A17" s="12" t="s">
        <v>22</v>
      </c>
      <c r="B17" s="2" t="s">
        <v>23</v>
      </c>
      <c r="C17" s="74" t="s">
        <v>32</v>
      </c>
      <c r="D17" s="5" t="s">
        <v>58</v>
      </c>
      <c r="E17" s="7" t="s">
        <v>226</v>
      </c>
      <c r="F17" s="20" t="s">
        <v>455</v>
      </c>
      <c r="G17" s="68" t="s">
        <v>475</v>
      </c>
      <c r="H17" s="3" t="s">
        <v>413</v>
      </c>
      <c r="I17" s="10" t="str">
        <f t="shared" si="0"/>
        <v>S1</v>
      </c>
      <c r="J17" s="50" t="s">
        <v>365</v>
      </c>
      <c r="K17" s="71" t="s">
        <v>365</v>
      </c>
      <c r="L17" s="71" t="s">
        <v>365</v>
      </c>
      <c r="M17" s="71" t="s">
        <v>365</v>
      </c>
      <c r="N17" s="71" t="s">
        <v>365</v>
      </c>
      <c r="O17" s="43" t="s">
        <v>365</v>
      </c>
      <c r="P17" s="23">
        <v>1</v>
      </c>
    </row>
    <row r="18" spans="1:16" ht="29" x14ac:dyDescent="0.35">
      <c r="A18" s="12" t="s">
        <v>22</v>
      </c>
      <c r="B18" s="2" t="s">
        <v>23</v>
      </c>
      <c r="C18" s="74" t="s">
        <v>32</v>
      </c>
      <c r="D18" s="5" t="s">
        <v>59</v>
      </c>
      <c r="E18" s="7" t="s">
        <v>227</v>
      </c>
      <c r="F18" s="20" t="s">
        <v>164</v>
      </c>
      <c r="G18" s="68" t="s">
        <v>475</v>
      </c>
      <c r="H18" s="3" t="s">
        <v>413</v>
      </c>
      <c r="I18" s="8" t="str">
        <f t="shared" si="0"/>
        <v>S1</v>
      </c>
      <c r="J18" s="50" t="s">
        <v>366</v>
      </c>
      <c r="K18" s="71" t="s">
        <v>366</v>
      </c>
      <c r="L18" s="71" t="s">
        <v>366</v>
      </c>
      <c r="M18" s="71" t="s">
        <v>366</v>
      </c>
      <c r="N18" s="71" t="s">
        <v>366</v>
      </c>
      <c r="O18" s="43" t="s">
        <v>366</v>
      </c>
      <c r="P18" s="23">
        <v>1</v>
      </c>
    </row>
    <row r="19" spans="1:16" ht="29" x14ac:dyDescent="0.35">
      <c r="A19" s="12" t="s">
        <v>22</v>
      </c>
      <c r="B19" s="2" t="s">
        <v>23</v>
      </c>
      <c r="C19" s="74" t="s">
        <v>32</v>
      </c>
      <c r="D19" s="5" t="s">
        <v>60</v>
      </c>
      <c r="E19" s="7" t="s">
        <v>228</v>
      </c>
      <c r="F19" s="20" t="s">
        <v>429</v>
      </c>
      <c r="G19" s="68" t="s">
        <v>475</v>
      </c>
      <c r="H19" s="3" t="s">
        <v>415</v>
      </c>
      <c r="I19" s="8" t="str">
        <f t="shared" si="0"/>
        <v>S1</v>
      </c>
      <c r="J19" s="50" t="s">
        <v>367</v>
      </c>
      <c r="K19" s="71" t="s">
        <v>367</v>
      </c>
      <c r="L19" s="71" t="s">
        <v>367</v>
      </c>
      <c r="M19" s="71" t="s">
        <v>367</v>
      </c>
      <c r="N19" s="71" t="s">
        <v>367</v>
      </c>
      <c r="O19" s="43" t="s">
        <v>367</v>
      </c>
      <c r="P19" s="23">
        <v>1</v>
      </c>
    </row>
    <row r="20" spans="1:16" ht="58" x14ac:dyDescent="0.35">
      <c r="A20" s="12" t="s">
        <v>22</v>
      </c>
      <c r="B20" s="2" t="s">
        <v>23</v>
      </c>
      <c r="C20" s="74" t="s">
        <v>32</v>
      </c>
      <c r="D20" s="5" t="s">
        <v>61</v>
      </c>
      <c r="E20" s="7" t="s">
        <v>229</v>
      </c>
      <c r="F20" s="20" t="s">
        <v>162</v>
      </c>
      <c r="G20" s="29" t="s">
        <v>402</v>
      </c>
      <c r="H20" s="3" t="s">
        <v>421</v>
      </c>
      <c r="I20" s="9" t="str">
        <f t="shared" si="0"/>
        <v>S2</v>
      </c>
      <c r="J20" s="50" t="s">
        <v>368</v>
      </c>
      <c r="K20" s="71" t="s">
        <v>368</v>
      </c>
      <c r="L20" s="72" t="s">
        <v>386</v>
      </c>
      <c r="M20" s="72" t="s">
        <v>387</v>
      </c>
      <c r="N20" s="71" t="s">
        <v>368</v>
      </c>
      <c r="O20" s="44" t="s">
        <v>387</v>
      </c>
      <c r="P20" s="23">
        <v>1</v>
      </c>
    </row>
    <row r="21" spans="1:16" ht="29" x14ac:dyDescent="0.35">
      <c r="A21" s="12" t="s">
        <v>22</v>
      </c>
      <c r="B21" s="2" t="s">
        <v>23</v>
      </c>
      <c r="C21" s="74" t="s">
        <v>32</v>
      </c>
      <c r="D21" s="5" t="s">
        <v>11</v>
      </c>
      <c r="E21" s="7" t="s">
        <v>230</v>
      </c>
      <c r="F21" s="20" t="s">
        <v>162</v>
      </c>
      <c r="G21" s="29" t="s">
        <v>402</v>
      </c>
      <c r="H21" s="3" t="s">
        <v>421</v>
      </c>
      <c r="I21" s="9" t="str">
        <f t="shared" si="0"/>
        <v>S2</v>
      </c>
      <c r="J21" s="50" t="s">
        <v>368</v>
      </c>
      <c r="K21" s="71" t="s">
        <v>368</v>
      </c>
      <c r="L21" s="72" t="s">
        <v>382</v>
      </c>
      <c r="M21" s="72" t="s">
        <v>384</v>
      </c>
      <c r="N21" s="71" t="s">
        <v>368</v>
      </c>
      <c r="O21" s="44" t="s">
        <v>384</v>
      </c>
      <c r="P21" s="23">
        <v>1</v>
      </c>
    </row>
    <row r="22" spans="1:16" ht="43.5" x14ac:dyDescent="0.35">
      <c r="A22" s="12" t="s">
        <v>22</v>
      </c>
      <c r="B22" s="2" t="s">
        <v>23</v>
      </c>
      <c r="C22" s="74" t="s">
        <v>32</v>
      </c>
      <c r="D22" s="5" t="s">
        <v>62</v>
      </c>
      <c r="E22" s="7" t="s">
        <v>231</v>
      </c>
      <c r="F22" s="20" t="s">
        <v>162</v>
      </c>
      <c r="G22" s="29" t="s">
        <v>402</v>
      </c>
      <c r="H22" s="3" t="s">
        <v>421</v>
      </c>
      <c r="I22" s="9" t="str">
        <f t="shared" si="0"/>
        <v>S2</v>
      </c>
      <c r="J22" s="50" t="s">
        <v>368</v>
      </c>
      <c r="K22" s="71" t="s">
        <v>368</v>
      </c>
      <c r="L22" s="72" t="s">
        <v>383</v>
      </c>
      <c r="M22" s="71" t="s">
        <v>385</v>
      </c>
      <c r="N22" s="71" t="s">
        <v>368</v>
      </c>
      <c r="O22" s="43" t="s">
        <v>385</v>
      </c>
      <c r="P22" s="23">
        <v>1</v>
      </c>
    </row>
    <row r="23" spans="1:16" ht="29" x14ac:dyDescent="0.35">
      <c r="A23" s="12" t="s">
        <v>22</v>
      </c>
      <c r="B23" s="2" t="s">
        <v>23</v>
      </c>
      <c r="C23" s="74" t="s">
        <v>32</v>
      </c>
      <c r="D23" s="5" t="s">
        <v>10</v>
      </c>
      <c r="E23" s="7" t="s">
        <v>232</v>
      </c>
      <c r="F23" s="21" t="s">
        <v>182</v>
      </c>
      <c r="G23" s="28" t="s">
        <v>407</v>
      </c>
      <c r="H23" s="3" t="s">
        <v>420</v>
      </c>
      <c r="I23" s="31" t="str">
        <f t="shared" si="0"/>
        <v>S4</v>
      </c>
      <c r="J23" s="52" t="s">
        <v>368</v>
      </c>
      <c r="K23" s="77" t="s">
        <v>368</v>
      </c>
      <c r="L23" s="77" t="s">
        <v>368</v>
      </c>
      <c r="M23" s="77" t="s">
        <v>368</v>
      </c>
      <c r="N23" s="77" t="s">
        <v>368</v>
      </c>
      <c r="O23" s="32" t="s">
        <v>368</v>
      </c>
    </row>
    <row r="24" spans="1:16" ht="29" x14ac:dyDescent="0.35">
      <c r="A24" s="12" t="s">
        <v>22</v>
      </c>
      <c r="B24" s="2" t="s">
        <v>23</v>
      </c>
      <c r="C24" s="74" t="s">
        <v>26</v>
      </c>
      <c r="D24" s="5" t="s">
        <v>63</v>
      </c>
      <c r="E24" s="7" t="s">
        <v>233</v>
      </c>
      <c r="F24" s="20" t="s">
        <v>162</v>
      </c>
      <c r="G24" s="29" t="s">
        <v>402</v>
      </c>
      <c r="H24" s="3" t="s">
        <v>421</v>
      </c>
      <c r="I24" s="9" t="str">
        <f t="shared" si="0"/>
        <v>S2</v>
      </c>
      <c r="J24" s="50" t="s">
        <v>368</v>
      </c>
      <c r="K24" s="71" t="s">
        <v>368</v>
      </c>
      <c r="L24" s="71" t="s">
        <v>368</v>
      </c>
      <c r="M24" s="71" t="s">
        <v>368</v>
      </c>
      <c r="N24" s="71" t="s">
        <v>368</v>
      </c>
      <c r="O24" s="43" t="s">
        <v>368</v>
      </c>
      <c r="P24" s="23">
        <v>1</v>
      </c>
    </row>
    <row r="25" spans="1:16" ht="29" x14ac:dyDescent="0.35">
      <c r="A25" s="12" t="s">
        <v>22</v>
      </c>
      <c r="B25" s="2" t="s">
        <v>23</v>
      </c>
      <c r="C25" s="74" t="s">
        <v>26</v>
      </c>
      <c r="D25" s="5" t="s">
        <v>7</v>
      </c>
      <c r="E25" s="7" t="s">
        <v>234</v>
      </c>
      <c r="F25" s="20" t="s">
        <v>162</v>
      </c>
      <c r="G25" s="29" t="s">
        <v>402</v>
      </c>
      <c r="H25" s="3" t="s">
        <v>421</v>
      </c>
      <c r="I25" s="9" t="str">
        <f t="shared" si="0"/>
        <v>S2</v>
      </c>
      <c r="J25" s="50" t="s">
        <v>368</v>
      </c>
      <c r="K25" s="71" t="s">
        <v>368</v>
      </c>
      <c r="L25" s="71" t="s">
        <v>368</v>
      </c>
      <c r="M25" s="71" t="s">
        <v>368</v>
      </c>
      <c r="N25" s="71" t="s">
        <v>368</v>
      </c>
      <c r="O25" s="43" t="s">
        <v>368</v>
      </c>
      <c r="P25" s="23">
        <v>1</v>
      </c>
    </row>
    <row r="26" spans="1:16" ht="29" x14ac:dyDescent="0.35">
      <c r="A26" s="12" t="s">
        <v>22</v>
      </c>
      <c r="B26" s="2" t="s">
        <v>23</v>
      </c>
      <c r="C26" s="74" t="s">
        <v>26</v>
      </c>
      <c r="D26" s="5" t="s">
        <v>64</v>
      </c>
      <c r="E26" s="7" t="s">
        <v>235</v>
      </c>
      <c r="F26" s="20" t="s">
        <v>162</v>
      </c>
      <c r="G26" s="29" t="s">
        <v>402</v>
      </c>
      <c r="H26" s="3" t="s">
        <v>421</v>
      </c>
      <c r="I26" s="9" t="str">
        <f t="shared" si="0"/>
        <v>S2</v>
      </c>
      <c r="J26" s="50" t="s">
        <v>368</v>
      </c>
      <c r="K26" s="71" t="s">
        <v>368</v>
      </c>
      <c r="L26" s="71" t="s">
        <v>368</v>
      </c>
      <c r="M26" s="71" t="s">
        <v>368</v>
      </c>
      <c r="N26" s="71" t="s">
        <v>368</v>
      </c>
      <c r="O26" s="43" t="s">
        <v>368</v>
      </c>
      <c r="P26" s="23">
        <v>1</v>
      </c>
    </row>
    <row r="27" spans="1:16" ht="29" x14ac:dyDescent="0.35">
      <c r="A27" s="12" t="s">
        <v>22</v>
      </c>
      <c r="B27" s="2" t="s">
        <v>23</v>
      </c>
      <c r="C27" s="74" t="s">
        <v>29</v>
      </c>
      <c r="D27" s="5" t="s">
        <v>9</v>
      </c>
      <c r="E27" s="7" t="s">
        <v>236</v>
      </c>
      <c r="F27" s="20" t="s">
        <v>162</v>
      </c>
      <c r="G27" s="28" t="s">
        <v>402</v>
      </c>
      <c r="H27" s="3" t="s">
        <v>421</v>
      </c>
      <c r="I27" s="9" t="str">
        <f t="shared" si="0"/>
        <v>S2</v>
      </c>
      <c r="J27" s="50" t="s">
        <v>368</v>
      </c>
      <c r="K27" s="71" t="s">
        <v>368</v>
      </c>
      <c r="L27" s="71" t="s">
        <v>368</v>
      </c>
      <c r="M27" s="71" t="s">
        <v>368</v>
      </c>
      <c r="N27" s="71" t="s">
        <v>368</v>
      </c>
      <c r="O27" s="43" t="s">
        <v>368</v>
      </c>
      <c r="P27" s="23">
        <v>1</v>
      </c>
    </row>
    <row r="28" spans="1:16" ht="29" x14ac:dyDescent="0.35">
      <c r="A28" s="12" t="s">
        <v>22</v>
      </c>
      <c r="B28" s="2" t="s">
        <v>23</v>
      </c>
      <c r="C28" s="74" t="s">
        <v>30</v>
      </c>
      <c r="D28" s="5" t="s">
        <v>5</v>
      </c>
      <c r="E28" s="7" t="s">
        <v>237</v>
      </c>
      <c r="F28" s="20" t="s">
        <v>162</v>
      </c>
      <c r="G28" s="28" t="s">
        <v>402</v>
      </c>
      <c r="H28" s="3" t="s">
        <v>421</v>
      </c>
      <c r="I28" s="9" t="str">
        <f t="shared" si="0"/>
        <v>S2</v>
      </c>
      <c r="J28" s="50" t="s">
        <v>369</v>
      </c>
      <c r="K28" s="71" t="s">
        <v>369</v>
      </c>
      <c r="L28" s="71" t="s">
        <v>369</v>
      </c>
      <c r="M28" s="71" t="s">
        <v>369</v>
      </c>
      <c r="N28" s="71" t="s">
        <v>368</v>
      </c>
      <c r="O28" s="43" t="s">
        <v>65</v>
      </c>
      <c r="P28" s="23">
        <v>1</v>
      </c>
    </row>
    <row r="29" spans="1:16" ht="43.5" x14ac:dyDescent="0.35">
      <c r="A29" s="12" t="s">
        <v>22</v>
      </c>
      <c r="B29" s="2" t="s">
        <v>23</v>
      </c>
      <c r="C29" s="74" t="s">
        <v>27</v>
      </c>
      <c r="D29" s="5" t="s">
        <v>5</v>
      </c>
      <c r="E29" s="7" t="s">
        <v>238</v>
      </c>
      <c r="F29" s="20" t="s">
        <v>162</v>
      </c>
      <c r="G29" s="29" t="s">
        <v>402</v>
      </c>
      <c r="H29" s="3" t="s">
        <v>421</v>
      </c>
      <c r="I29" s="9" t="str">
        <f t="shared" si="0"/>
        <v>S2</v>
      </c>
      <c r="J29" s="53" t="s">
        <v>370</v>
      </c>
      <c r="K29" s="71" t="s">
        <v>368</v>
      </c>
      <c r="L29" s="71" t="s">
        <v>370</v>
      </c>
      <c r="M29" s="71" t="s">
        <v>370</v>
      </c>
      <c r="N29" s="71" t="s">
        <v>368</v>
      </c>
      <c r="O29" s="43" t="s">
        <v>370</v>
      </c>
      <c r="P29" s="23">
        <v>1</v>
      </c>
    </row>
    <row r="30" spans="1:16" ht="29" x14ac:dyDescent="0.35">
      <c r="A30" s="12" t="s">
        <v>22</v>
      </c>
      <c r="B30" s="2" t="s">
        <v>23</v>
      </c>
      <c r="C30" s="74" t="s">
        <v>28</v>
      </c>
      <c r="D30" s="5" t="s">
        <v>5</v>
      </c>
      <c r="E30" s="7" t="s">
        <v>239</v>
      </c>
      <c r="F30" s="20" t="s">
        <v>162</v>
      </c>
      <c r="G30" s="28" t="s">
        <v>402</v>
      </c>
      <c r="H30" s="3" t="s">
        <v>419</v>
      </c>
      <c r="I30" s="14" t="str">
        <f t="shared" si="0"/>
        <v>S4</v>
      </c>
      <c r="J30" s="52" t="s">
        <v>368</v>
      </c>
      <c r="K30" s="77" t="s">
        <v>368</v>
      </c>
      <c r="L30" s="77" t="s">
        <v>368</v>
      </c>
      <c r="M30" s="77" t="s">
        <v>368</v>
      </c>
      <c r="N30" s="77" t="s">
        <v>368</v>
      </c>
      <c r="O30" s="32" t="s">
        <v>368</v>
      </c>
    </row>
    <row r="31" spans="1:16" ht="29" x14ac:dyDescent="0.35">
      <c r="A31" s="12" t="s">
        <v>22</v>
      </c>
      <c r="B31" s="2" t="s">
        <v>23</v>
      </c>
      <c r="C31" s="74" t="s">
        <v>66</v>
      </c>
      <c r="D31" s="5" t="s">
        <v>67</v>
      </c>
      <c r="E31" s="7" t="s">
        <v>240</v>
      </c>
      <c r="F31" s="20" t="s">
        <v>162</v>
      </c>
      <c r="G31" s="29" t="s">
        <v>402</v>
      </c>
      <c r="H31" s="3" t="s">
        <v>421</v>
      </c>
      <c r="I31" s="9" t="str">
        <f t="shared" si="0"/>
        <v>S2</v>
      </c>
      <c r="J31" s="53" t="s">
        <v>371</v>
      </c>
      <c r="K31" s="71" t="s">
        <v>368</v>
      </c>
      <c r="L31" s="71" t="s">
        <v>371</v>
      </c>
      <c r="M31" s="71" t="s">
        <v>371</v>
      </c>
      <c r="N31" s="71" t="s">
        <v>388</v>
      </c>
      <c r="O31" s="43" t="s">
        <v>371</v>
      </c>
      <c r="P31" s="23">
        <v>1</v>
      </c>
    </row>
    <row r="32" spans="1:16" ht="29" x14ac:dyDescent="0.35">
      <c r="A32" s="12" t="s">
        <v>22</v>
      </c>
      <c r="B32" s="2" t="s">
        <v>23</v>
      </c>
      <c r="C32" s="74" t="s">
        <v>31</v>
      </c>
      <c r="D32" s="5" t="s">
        <v>5</v>
      </c>
      <c r="E32" s="7" t="s">
        <v>241</v>
      </c>
      <c r="F32" s="21" t="s">
        <v>182</v>
      </c>
      <c r="G32" s="28" t="s">
        <v>407</v>
      </c>
      <c r="H32" s="3" t="s">
        <v>420</v>
      </c>
      <c r="I32" s="31" t="str">
        <f t="shared" si="0"/>
        <v>S4</v>
      </c>
      <c r="J32" s="52" t="s">
        <v>368</v>
      </c>
      <c r="K32" s="77" t="s">
        <v>368</v>
      </c>
      <c r="L32" s="77" t="s">
        <v>368</v>
      </c>
      <c r="M32" s="77" t="s">
        <v>368</v>
      </c>
      <c r="N32" s="77" t="s">
        <v>368</v>
      </c>
      <c r="O32" s="32" t="s">
        <v>368</v>
      </c>
    </row>
    <row r="33" spans="1:16" ht="58" x14ac:dyDescent="0.35">
      <c r="A33" s="12" t="s">
        <v>22</v>
      </c>
      <c r="B33" s="2" t="s">
        <v>23</v>
      </c>
      <c r="C33" s="7" t="s">
        <v>33</v>
      </c>
      <c r="E33" s="7" t="s">
        <v>242</v>
      </c>
      <c r="F33" s="21" t="s">
        <v>165</v>
      </c>
      <c r="G33" s="29" t="s">
        <v>402</v>
      </c>
      <c r="H33" s="3" t="s">
        <v>415</v>
      </c>
      <c r="I33" s="8" t="str">
        <f t="shared" si="0"/>
        <v>S2</v>
      </c>
      <c r="J33" s="54" t="s">
        <v>464</v>
      </c>
      <c r="K33" s="76" t="s">
        <v>464</v>
      </c>
      <c r="L33" s="76" t="s">
        <v>464</v>
      </c>
      <c r="M33" s="76" t="s">
        <v>464</v>
      </c>
      <c r="N33" s="76" t="s">
        <v>464</v>
      </c>
      <c r="O33" s="48" t="s">
        <v>464</v>
      </c>
      <c r="P33" s="23">
        <v>1</v>
      </c>
    </row>
    <row r="34" spans="1:16" ht="29" x14ac:dyDescent="0.35">
      <c r="A34" s="12" t="s">
        <v>22</v>
      </c>
      <c r="B34" s="2" t="s">
        <v>23</v>
      </c>
      <c r="C34" s="7" t="s">
        <v>34</v>
      </c>
      <c r="D34" s="5" t="s">
        <v>120</v>
      </c>
      <c r="E34" s="7" t="s">
        <v>243</v>
      </c>
      <c r="F34" s="21" t="s">
        <v>166</v>
      </c>
      <c r="G34" s="29" t="s">
        <v>400</v>
      </c>
      <c r="H34" s="3" t="s">
        <v>419</v>
      </c>
      <c r="I34" s="31" t="str">
        <f t="shared" si="0"/>
        <v>S4</v>
      </c>
      <c r="J34" s="52" t="s">
        <v>368</v>
      </c>
      <c r="K34" s="77" t="s">
        <v>368</v>
      </c>
      <c r="L34" s="77" t="s">
        <v>368</v>
      </c>
      <c r="M34" s="77" t="s">
        <v>368</v>
      </c>
      <c r="N34" s="77" t="s">
        <v>368</v>
      </c>
      <c r="O34" s="32" t="s">
        <v>368</v>
      </c>
    </row>
    <row r="35" spans="1:16" ht="29" x14ac:dyDescent="0.35">
      <c r="A35" s="12" t="s">
        <v>22</v>
      </c>
      <c r="B35" s="2" t="s">
        <v>23</v>
      </c>
      <c r="C35" s="7" t="s">
        <v>34</v>
      </c>
      <c r="D35" s="75" t="s">
        <v>121</v>
      </c>
      <c r="E35" s="7" t="s">
        <v>244</v>
      </c>
      <c r="F35" s="20" t="s">
        <v>162</v>
      </c>
      <c r="G35" s="28" t="s">
        <v>402</v>
      </c>
      <c r="H35" s="68" t="s">
        <v>415</v>
      </c>
      <c r="I35" s="42" t="str">
        <f t="shared" si="0"/>
        <v>S2</v>
      </c>
      <c r="J35" s="54" t="s">
        <v>469</v>
      </c>
      <c r="K35" s="76" t="s">
        <v>469</v>
      </c>
      <c r="L35" s="76" t="s">
        <v>469</v>
      </c>
      <c r="M35" s="76" t="s">
        <v>469</v>
      </c>
      <c r="N35" s="76" t="s">
        <v>469</v>
      </c>
      <c r="O35" s="48" t="s">
        <v>469</v>
      </c>
      <c r="P35" s="23">
        <v>1</v>
      </c>
    </row>
    <row r="36" spans="1:16" ht="29" x14ac:dyDescent="0.35">
      <c r="A36" s="12" t="s">
        <v>22</v>
      </c>
      <c r="B36" s="2" t="s">
        <v>23</v>
      </c>
      <c r="C36" s="7" t="s">
        <v>34</v>
      </c>
      <c r="D36" s="5" t="s">
        <v>124</v>
      </c>
      <c r="E36" s="7" t="s">
        <v>245</v>
      </c>
      <c r="F36" s="21" t="s">
        <v>167</v>
      </c>
      <c r="G36" s="28" t="s">
        <v>407</v>
      </c>
      <c r="H36" s="3" t="s">
        <v>420</v>
      </c>
      <c r="I36" s="14" t="str">
        <f t="shared" si="0"/>
        <v>S4</v>
      </c>
      <c r="J36" s="52" t="s">
        <v>368</v>
      </c>
      <c r="K36" s="77" t="s">
        <v>368</v>
      </c>
      <c r="L36" s="77" t="s">
        <v>368</v>
      </c>
      <c r="M36" s="77" t="s">
        <v>368</v>
      </c>
      <c r="N36" s="77" t="s">
        <v>368</v>
      </c>
      <c r="O36" s="32" t="s">
        <v>368</v>
      </c>
    </row>
    <row r="37" spans="1:16" ht="29" x14ac:dyDescent="0.35">
      <c r="A37" s="12" t="s">
        <v>22</v>
      </c>
      <c r="B37" s="2" t="s">
        <v>23</v>
      </c>
      <c r="C37" s="7" t="s">
        <v>34</v>
      </c>
      <c r="D37" s="5" t="s">
        <v>122</v>
      </c>
      <c r="E37" s="7" t="s">
        <v>246</v>
      </c>
      <c r="F37" s="21" t="s">
        <v>168</v>
      </c>
      <c r="G37" s="28" t="s">
        <v>407</v>
      </c>
      <c r="H37" s="3" t="s">
        <v>420</v>
      </c>
      <c r="I37" s="14" t="str">
        <f t="shared" si="0"/>
        <v>S4</v>
      </c>
      <c r="J37" s="52" t="s">
        <v>368</v>
      </c>
      <c r="K37" s="77" t="s">
        <v>368</v>
      </c>
      <c r="L37" s="77" t="s">
        <v>368</v>
      </c>
      <c r="M37" s="77" t="s">
        <v>368</v>
      </c>
      <c r="N37" s="77" t="s">
        <v>368</v>
      </c>
      <c r="O37" s="32" t="s">
        <v>368</v>
      </c>
    </row>
    <row r="38" spans="1:16" ht="29" x14ac:dyDescent="0.35">
      <c r="A38" s="12" t="s">
        <v>22</v>
      </c>
      <c r="B38" s="2" t="s">
        <v>23</v>
      </c>
      <c r="C38" s="7" t="s">
        <v>34</v>
      </c>
      <c r="D38" s="5" t="s">
        <v>123</v>
      </c>
      <c r="E38" s="7" t="s">
        <v>247</v>
      </c>
      <c r="F38" s="20" t="s">
        <v>169</v>
      </c>
      <c r="G38" s="28" t="s">
        <v>405</v>
      </c>
      <c r="H38" s="3" t="s">
        <v>419</v>
      </c>
      <c r="I38" s="14" t="str">
        <f t="shared" si="0"/>
        <v>S4</v>
      </c>
      <c r="J38" s="52" t="s">
        <v>368</v>
      </c>
      <c r="K38" s="77" t="s">
        <v>368</v>
      </c>
      <c r="L38" s="77" t="s">
        <v>368</v>
      </c>
      <c r="M38" s="77" t="s">
        <v>368</v>
      </c>
      <c r="N38" s="77" t="s">
        <v>368</v>
      </c>
      <c r="O38" s="32" t="s">
        <v>368</v>
      </c>
    </row>
    <row r="39" spans="1:16" ht="29" x14ac:dyDescent="0.35">
      <c r="A39" s="12" t="s">
        <v>22</v>
      </c>
      <c r="B39" s="2" t="s">
        <v>23</v>
      </c>
      <c r="C39" s="7" t="s">
        <v>34</v>
      </c>
      <c r="D39" s="75" t="s">
        <v>125</v>
      </c>
      <c r="E39" s="7" t="s">
        <v>248</v>
      </c>
      <c r="F39" s="20" t="s">
        <v>162</v>
      </c>
      <c r="G39" s="45" t="s">
        <v>405</v>
      </c>
      <c r="H39" s="67" t="s">
        <v>415</v>
      </c>
      <c r="I39" s="10" t="str">
        <f t="shared" si="0"/>
        <v>S3</v>
      </c>
      <c r="J39" s="54" t="s">
        <v>372</v>
      </c>
      <c r="K39" s="76" t="s">
        <v>372</v>
      </c>
      <c r="L39" s="76" t="s">
        <v>372</v>
      </c>
      <c r="M39" s="76" t="s">
        <v>372</v>
      </c>
      <c r="N39" s="76" t="s">
        <v>372</v>
      </c>
      <c r="O39" s="48" t="s">
        <v>372</v>
      </c>
      <c r="P39" s="23">
        <v>1</v>
      </c>
    </row>
    <row r="40" spans="1:16" ht="29" x14ac:dyDescent="0.35">
      <c r="A40" s="12" t="s">
        <v>22</v>
      </c>
      <c r="B40" s="2" t="s">
        <v>23</v>
      </c>
      <c r="C40" s="7" t="s">
        <v>34</v>
      </c>
      <c r="D40" s="5" t="s">
        <v>127</v>
      </c>
      <c r="E40" s="7" t="s">
        <v>249</v>
      </c>
      <c r="F40" s="21" t="s">
        <v>170</v>
      </c>
      <c r="G40" s="28" t="s">
        <v>400</v>
      </c>
      <c r="H40" s="3" t="s">
        <v>415</v>
      </c>
      <c r="I40" s="8" t="str">
        <f t="shared" si="0"/>
        <v>S1</v>
      </c>
      <c r="J40" s="54" t="s">
        <v>374</v>
      </c>
      <c r="K40" s="72" t="s">
        <v>374</v>
      </c>
      <c r="L40" s="72" t="s">
        <v>374</v>
      </c>
      <c r="M40" s="72" t="s">
        <v>374</v>
      </c>
      <c r="N40" s="72" t="s">
        <v>374</v>
      </c>
      <c r="O40" s="44" t="s">
        <v>374</v>
      </c>
      <c r="P40" s="23">
        <v>1</v>
      </c>
    </row>
    <row r="41" spans="1:16" x14ac:dyDescent="0.35">
      <c r="A41" s="12" t="s">
        <v>22</v>
      </c>
      <c r="B41" s="2" t="s">
        <v>23</v>
      </c>
      <c r="C41" s="7" t="s">
        <v>10</v>
      </c>
      <c r="D41" s="5" t="s">
        <v>5</v>
      </c>
      <c r="E41" s="7" t="s">
        <v>250</v>
      </c>
      <c r="F41" s="21" t="s">
        <v>182</v>
      </c>
      <c r="G41" s="28" t="s">
        <v>407</v>
      </c>
      <c r="H41" s="3" t="s">
        <v>420</v>
      </c>
      <c r="I41" s="31" t="str">
        <f t="shared" si="0"/>
        <v>S4</v>
      </c>
      <c r="J41" s="52" t="s">
        <v>5</v>
      </c>
      <c r="K41" s="77" t="s">
        <v>5</v>
      </c>
      <c r="L41" s="77" t="s">
        <v>5</v>
      </c>
      <c r="M41" s="77" t="s">
        <v>5</v>
      </c>
      <c r="N41" s="77" t="s">
        <v>5</v>
      </c>
      <c r="O41" s="32" t="s">
        <v>5</v>
      </c>
    </row>
    <row r="42" spans="1:16" ht="101.5" x14ac:dyDescent="0.35">
      <c r="A42" s="12" t="s">
        <v>22</v>
      </c>
      <c r="B42" s="2" t="s">
        <v>35</v>
      </c>
      <c r="C42" s="7" t="s">
        <v>13</v>
      </c>
      <c r="D42" s="5" t="s">
        <v>5</v>
      </c>
      <c r="E42" s="7" t="s">
        <v>436</v>
      </c>
      <c r="F42" s="21" t="s">
        <v>480</v>
      </c>
      <c r="G42" s="28" t="s">
        <v>405</v>
      </c>
      <c r="H42" s="3" t="s">
        <v>421</v>
      </c>
      <c r="I42" s="10" t="str">
        <f t="shared" si="0"/>
        <v>S3</v>
      </c>
      <c r="J42" s="54" t="s">
        <v>481</v>
      </c>
      <c r="K42" s="76" t="s">
        <v>481</v>
      </c>
      <c r="L42" s="76" t="s">
        <v>482</v>
      </c>
      <c r="M42" s="76" t="s">
        <v>481</v>
      </c>
      <c r="N42" s="76" t="s">
        <v>481</v>
      </c>
      <c r="O42" s="48" t="s">
        <v>481</v>
      </c>
    </row>
    <row r="43" spans="1:16" ht="72.5" x14ac:dyDescent="0.35">
      <c r="A43" s="12" t="s">
        <v>22</v>
      </c>
      <c r="B43" s="2" t="s">
        <v>35</v>
      </c>
      <c r="C43" s="7" t="s">
        <v>36</v>
      </c>
      <c r="D43" s="5" t="s">
        <v>85</v>
      </c>
      <c r="E43" s="7" t="s">
        <v>251</v>
      </c>
      <c r="F43" s="21" t="s">
        <v>479</v>
      </c>
      <c r="G43" s="28" t="s">
        <v>405</v>
      </c>
      <c r="H43" s="3" t="s">
        <v>415</v>
      </c>
      <c r="I43" s="10" t="str">
        <f t="shared" si="0"/>
        <v>S3</v>
      </c>
      <c r="J43" s="54" t="s">
        <v>478</v>
      </c>
      <c r="K43" s="76" t="s">
        <v>478</v>
      </c>
      <c r="L43" s="76" t="s">
        <v>478</v>
      </c>
      <c r="M43" s="76" t="s">
        <v>478</v>
      </c>
      <c r="N43" s="76" t="s">
        <v>478</v>
      </c>
      <c r="O43" s="48" t="s">
        <v>478</v>
      </c>
    </row>
    <row r="44" spans="1:16" ht="72.5" x14ac:dyDescent="0.35">
      <c r="A44" s="12" t="s">
        <v>22</v>
      </c>
      <c r="B44" s="2" t="s">
        <v>35</v>
      </c>
      <c r="C44" s="7" t="s">
        <v>36</v>
      </c>
      <c r="D44" s="5" t="s">
        <v>86</v>
      </c>
      <c r="E44" s="7" t="s">
        <v>252</v>
      </c>
      <c r="F44" s="21" t="s">
        <v>479</v>
      </c>
      <c r="G44" s="28" t="s">
        <v>405</v>
      </c>
      <c r="H44" s="3" t="s">
        <v>415</v>
      </c>
      <c r="I44" s="10" t="str">
        <f t="shared" si="0"/>
        <v>S3</v>
      </c>
      <c r="J44" s="54" t="s">
        <v>477</v>
      </c>
      <c r="K44" s="76" t="s">
        <v>477</v>
      </c>
      <c r="L44" s="76" t="s">
        <v>477</v>
      </c>
      <c r="M44" s="76" t="s">
        <v>477</v>
      </c>
      <c r="N44" s="76" t="s">
        <v>477</v>
      </c>
      <c r="O44" s="48" t="s">
        <v>477</v>
      </c>
    </row>
    <row r="45" spans="1:16" ht="72.5" x14ac:dyDescent="0.35">
      <c r="A45" s="12" t="s">
        <v>22</v>
      </c>
      <c r="B45" s="2" t="s">
        <v>35</v>
      </c>
      <c r="C45" s="7" t="s">
        <v>36</v>
      </c>
      <c r="D45" s="5" t="s">
        <v>87</v>
      </c>
      <c r="E45" s="7" t="s">
        <v>253</v>
      </c>
      <c r="F45" s="21" t="s">
        <v>479</v>
      </c>
      <c r="G45" s="28" t="s">
        <v>405</v>
      </c>
      <c r="H45" s="3" t="s">
        <v>415</v>
      </c>
      <c r="I45" s="10" t="str">
        <f t="shared" si="0"/>
        <v>S3</v>
      </c>
      <c r="J45" s="54" t="s">
        <v>477</v>
      </c>
      <c r="K45" s="76" t="s">
        <v>477</v>
      </c>
      <c r="L45" s="76" t="s">
        <v>477</v>
      </c>
      <c r="M45" s="76" t="s">
        <v>477</v>
      </c>
      <c r="N45" s="76" t="s">
        <v>477</v>
      </c>
      <c r="O45" s="48" t="s">
        <v>477</v>
      </c>
    </row>
    <row r="46" spans="1:16" ht="43.5" x14ac:dyDescent="0.35">
      <c r="A46" s="12" t="s">
        <v>22</v>
      </c>
      <c r="B46" s="2" t="s">
        <v>35</v>
      </c>
      <c r="C46" s="7" t="s">
        <v>36</v>
      </c>
      <c r="D46" s="5" t="s">
        <v>88</v>
      </c>
      <c r="E46" s="7" t="s">
        <v>254</v>
      </c>
      <c r="F46" s="21" t="s">
        <v>479</v>
      </c>
      <c r="G46" s="28" t="s">
        <v>407</v>
      </c>
      <c r="H46" s="3" t="s">
        <v>420</v>
      </c>
      <c r="I46" s="14" t="str">
        <f t="shared" si="0"/>
        <v>S4</v>
      </c>
      <c r="J46" s="52" t="s">
        <v>368</v>
      </c>
      <c r="K46" s="77" t="s">
        <v>368</v>
      </c>
      <c r="L46" s="77" t="s">
        <v>368</v>
      </c>
      <c r="M46" s="77" t="s">
        <v>368</v>
      </c>
      <c r="N46" s="77" t="s">
        <v>368</v>
      </c>
      <c r="O46" s="32" t="s">
        <v>368</v>
      </c>
    </row>
    <row r="47" spans="1:16" ht="58" x14ac:dyDescent="0.35">
      <c r="A47" s="12" t="s">
        <v>22</v>
      </c>
      <c r="B47" s="2" t="s">
        <v>35</v>
      </c>
      <c r="C47" s="7" t="s">
        <v>36</v>
      </c>
      <c r="D47" s="5" t="s">
        <v>89</v>
      </c>
      <c r="E47" s="7" t="s">
        <v>255</v>
      </c>
      <c r="F47" s="21" t="s">
        <v>479</v>
      </c>
      <c r="G47" s="28" t="s">
        <v>407</v>
      </c>
      <c r="H47" s="3" t="s">
        <v>420</v>
      </c>
      <c r="I47" s="14" t="str">
        <f t="shared" si="0"/>
        <v>S4</v>
      </c>
      <c r="J47" s="52" t="s">
        <v>368</v>
      </c>
      <c r="K47" s="77" t="s">
        <v>368</v>
      </c>
      <c r="L47" s="77" t="s">
        <v>368</v>
      </c>
      <c r="M47" s="77" t="s">
        <v>368</v>
      </c>
      <c r="N47" s="77" t="s">
        <v>368</v>
      </c>
      <c r="O47" s="32" t="s">
        <v>368</v>
      </c>
    </row>
    <row r="48" spans="1:16" x14ac:dyDescent="0.35">
      <c r="A48" s="12" t="s">
        <v>22</v>
      </c>
      <c r="B48" s="2" t="s">
        <v>35</v>
      </c>
      <c r="C48" s="7" t="s">
        <v>36</v>
      </c>
      <c r="D48" s="5" t="s">
        <v>90</v>
      </c>
      <c r="E48" s="7" t="s">
        <v>256</v>
      </c>
      <c r="F48" s="21" t="s">
        <v>182</v>
      </c>
      <c r="G48" s="28" t="s">
        <v>407</v>
      </c>
      <c r="H48" s="3" t="s">
        <v>420</v>
      </c>
      <c r="I48" s="31" t="str">
        <f t="shared" si="0"/>
        <v>S4</v>
      </c>
      <c r="J48" s="52" t="s">
        <v>368</v>
      </c>
      <c r="K48" s="77" t="s">
        <v>368</v>
      </c>
      <c r="L48" s="77" t="s">
        <v>368</v>
      </c>
      <c r="M48" s="77" t="s">
        <v>368</v>
      </c>
      <c r="N48" s="77" t="s">
        <v>368</v>
      </c>
      <c r="O48" s="32" t="s">
        <v>368</v>
      </c>
    </row>
    <row r="49" spans="1:16" ht="43.5" x14ac:dyDescent="0.35">
      <c r="A49" s="12" t="s">
        <v>22</v>
      </c>
      <c r="B49" s="2" t="s">
        <v>35</v>
      </c>
      <c r="C49" s="7" t="s">
        <v>36</v>
      </c>
      <c r="D49" s="5" t="s">
        <v>70</v>
      </c>
      <c r="E49" s="7" t="s">
        <v>257</v>
      </c>
      <c r="F49" s="21" t="s">
        <v>171</v>
      </c>
      <c r="G49" s="68" t="s">
        <v>475</v>
      </c>
      <c r="H49" s="3" t="s">
        <v>415</v>
      </c>
      <c r="I49" s="8" t="str">
        <f t="shared" si="0"/>
        <v>S1</v>
      </c>
      <c r="J49" s="54" t="s">
        <v>495</v>
      </c>
      <c r="K49" s="76" t="s">
        <v>495</v>
      </c>
      <c r="L49" s="76" t="s">
        <v>495</v>
      </c>
      <c r="M49" s="76" t="s">
        <v>495</v>
      </c>
      <c r="N49" s="76" t="s">
        <v>495</v>
      </c>
      <c r="O49" s="48" t="s">
        <v>495</v>
      </c>
      <c r="P49" s="23">
        <v>1</v>
      </c>
    </row>
    <row r="50" spans="1:16" ht="29" x14ac:dyDescent="0.35">
      <c r="A50" s="12" t="s">
        <v>22</v>
      </c>
      <c r="B50" s="2" t="s">
        <v>35</v>
      </c>
      <c r="C50" s="7" t="s">
        <v>36</v>
      </c>
      <c r="D50" s="75" t="s">
        <v>91</v>
      </c>
      <c r="E50" s="74" t="s">
        <v>258</v>
      </c>
      <c r="F50" s="21" t="s">
        <v>177</v>
      </c>
      <c r="G50" s="28" t="s">
        <v>405</v>
      </c>
      <c r="H50" s="3" t="s">
        <v>419</v>
      </c>
      <c r="I50" s="61" t="str">
        <f t="shared" si="0"/>
        <v>S4</v>
      </c>
      <c r="J50" s="52" t="s">
        <v>368</v>
      </c>
      <c r="K50" s="77" t="s">
        <v>368</v>
      </c>
      <c r="L50" s="77" t="s">
        <v>368</v>
      </c>
      <c r="M50" s="77" t="s">
        <v>368</v>
      </c>
      <c r="N50" s="77" t="s">
        <v>368</v>
      </c>
      <c r="O50" s="32" t="s">
        <v>368</v>
      </c>
    </row>
    <row r="51" spans="1:16" ht="29" x14ac:dyDescent="0.35">
      <c r="A51" s="12" t="s">
        <v>22</v>
      </c>
      <c r="B51" s="2" t="s">
        <v>35</v>
      </c>
      <c r="C51" s="7" t="s">
        <v>36</v>
      </c>
      <c r="D51" s="75" t="s">
        <v>92</v>
      </c>
      <c r="E51" s="74" t="s">
        <v>259</v>
      </c>
      <c r="F51" s="56" t="s">
        <v>178</v>
      </c>
      <c r="G51" s="45" t="s">
        <v>405</v>
      </c>
      <c r="H51" s="67" t="s">
        <v>419</v>
      </c>
      <c r="I51" s="37" t="str">
        <f t="shared" si="0"/>
        <v>S4</v>
      </c>
      <c r="J51" s="52" t="s">
        <v>368</v>
      </c>
      <c r="K51" s="77" t="s">
        <v>368</v>
      </c>
      <c r="L51" s="77" t="s">
        <v>368</v>
      </c>
      <c r="M51" s="77" t="s">
        <v>368</v>
      </c>
      <c r="N51" s="77" t="s">
        <v>368</v>
      </c>
      <c r="O51" s="32" t="s">
        <v>368</v>
      </c>
    </row>
    <row r="52" spans="1:16" ht="87" x14ac:dyDescent="0.35">
      <c r="A52" s="12" t="s">
        <v>22</v>
      </c>
      <c r="B52" s="2" t="s">
        <v>35</v>
      </c>
      <c r="C52" s="74" t="s">
        <v>71</v>
      </c>
      <c r="D52" s="75" t="s">
        <v>19</v>
      </c>
      <c r="E52" s="7" t="s">
        <v>260</v>
      </c>
      <c r="F52" s="21" t="s">
        <v>170</v>
      </c>
      <c r="G52" s="28" t="s">
        <v>405</v>
      </c>
      <c r="H52" s="3" t="s">
        <v>421</v>
      </c>
      <c r="I52" s="10" t="str">
        <f t="shared" si="0"/>
        <v>S3</v>
      </c>
      <c r="J52" s="54" t="s">
        <v>483</v>
      </c>
      <c r="K52" s="76" t="s">
        <v>483</v>
      </c>
      <c r="L52" s="76" t="s">
        <v>484</v>
      </c>
      <c r="M52" s="76" t="s">
        <v>484</v>
      </c>
      <c r="N52" s="76" t="s">
        <v>483</v>
      </c>
      <c r="O52" s="48" t="s">
        <v>483</v>
      </c>
    </row>
    <row r="53" spans="1:16" ht="101.5" x14ac:dyDescent="0.35">
      <c r="A53" s="12" t="s">
        <v>22</v>
      </c>
      <c r="B53" s="2" t="s">
        <v>35</v>
      </c>
      <c r="C53" s="7" t="s">
        <v>71</v>
      </c>
      <c r="D53" s="5" t="s">
        <v>72</v>
      </c>
      <c r="E53" s="7" t="s">
        <v>430</v>
      </c>
      <c r="F53" s="21" t="s">
        <v>170</v>
      </c>
      <c r="G53" s="28" t="s">
        <v>405</v>
      </c>
      <c r="H53" s="3" t="s">
        <v>421</v>
      </c>
      <c r="I53" s="10" t="str">
        <f t="shared" si="0"/>
        <v>S3</v>
      </c>
      <c r="J53" s="54" t="s">
        <v>485</v>
      </c>
      <c r="K53" s="76" t="s">
        <v>485</v>
      </c>
      <c r="L53" s="76" t="s">
        <v>485</v>
      </c>
      <c r="M53" s="76" t="s">
        <v>485</v>
      </c>
      <c r="N53" s="76" t="s">
        <v>485</v>
      </c>
      <c r="O53" s="48" t="s">
        <v>485</v>
      </c>
    </row>
    <row r="54" spans="1:16" ht="29" x14ac:dyDescent="0.35">
      <c r="A54" s="12" t="s">
        <v>22</v>
      </c>
      <c r="B54" s="2" t="s">
        <v>35</v>
      </c>
      <c r="C54" s="7" t="s">
        <v>71</v>
      </c>
      <c r="D54" s="5" t="s">
        <v>10</v>
      </c>
      <c r="E54" s="7" t="s">
        <v>261</v>
      </c>
      <c r="F54" s="21" t="s">
        <v>182</v>
      </c>
      <c r="G54" s="28" t="s">
        <v>407</v>
      </c>
      <c r="H54" s="3" t="s">
        <v>420</v>
      </c>
      <c r="I54" s="31" t="str">
        <f t="shared" si="0"/>
        <v>S4</v>
      </c>
      <c r="J54" s="52" t="s">
        <v>368</v>
      </c>
      <c r="K54" s="77" t="s">
        <v>368</v>
      </c>
      <c r="L54" s="77" t="s">
        <v>368</v>
      </c>
      <c r="M54" s="77" t="s">
        <v>368</v>
      </c>
      <c r="N54" s="77" t="s">
        <v>368</v>
      </c>
      <c r="O54" s="32" t="s">
        <v>368</v>
      </c>
    </row>
    <row r="55" spans="1:16" ht="43.5" x14ac:dyDescent="0.35">
      <c r="A55" s="12" t="s">
        <v>22</v>
      </c>
      <c r="B55" s="2" t="s">
        <v>35</v>
      </c>
      <c r="C55" s="7" t="s">
        <v>36</v>
      </c>
      <c r="D55" s="5" t="s">
        <v>69</v>
      </c>
      <c r="E55" s="7" t="s">
        <v>262</v>
      </c>
      <c r="F55" s="21" t="s">
        <v>170</v>
      </c>
      <c r="G55" s="28" t="s">
        <v>405</v>
      </c>
      <c r="H55" s="3" t="s">
        <v>421</v>
      </c>
      <c r="I55" s="8" t="str">
        <f t="shared" si="0"/>
        <v>S3</v>
      </c>
      <c r="J55" s="54" t="s">
        <v>373</v>
      </c>
      <c r="K55" s="76" t="s">
        <v>373</v>
      </c>
      <c r="L55" s="76" t="s">
        <v>373</v>
      </c>
      <c r="M55" s="76" t="s">
        <v>373</v>
      </c>
      <c r="N55" s="76" t="s">
        <v>373</v>
      </c>
      <c r="O55" s="48" t="s">
        <v>373</v>
      </c>
      <c r="P55" s="23">
        <v>1</v>
      </c>
    </row>
    <row r="56" spans="1:16" x14ac:dyDescent="0.35">
      <c r="A56" s="12" t="s">
        <v>22</v>
      </c>
      <c r="B56" s="2" t="s">
        <v>35</v>
      </c>
      <c r="C56" s="7" t="s">
        <v>36</v>
      </c>
      <c r="D56" s="5" t="s">
        <v>10</v>
      </c>
      <c r="E56" s="7" t="s">
        <v>263</v>
      </c>
      <c r="F56" s="21" t="s">
        <v>182</v>
      </c>
      <c r="G56" s="28" t="s">
        <v>407</v>
      </c>
      <c r="H56" s="3" t="s">
        <v>420</v>
      </c>
      <c r="I56" s="31" t="str">
        <f t="shared" si="0"/>
        <v>S4</v>
      </c>
      <c r="J56" s="52" t="s">
        <v>368</v>
      </c>
      <c r="K56" s="77" t="s">
        <v>368</v>
      </c>
      <c r="L56" s="77" t="s">
        <v>368</v>
      </c>
      <c r="M56" s="77" t="s">
        <v>368</v>
      </c>
      <c r="N56" s="77" t="s">
        <v>368</v>
      </c>
      <c r="O56" s="32" t="s">
        <v>368</v>
      </c>
    </row>
    <row r="57" spans="1:16" ht="43.5" x14ac:dyDescent="0.35">
      <c r="A57" s="12" t="s">
        <v>22</v>
      </c>
      <c r="B57" s="2" t="s">
        <v>35</v>
      </c>
      <c r="C57" s="7" t="s">
        <v>37</v>
      </c>
      <c r="D57" s="5" t="s">
        <v>15</v>
      </c>
      <c r="E57" s="7" t="s">
        <v>264</v>
      </c>
      <c r="F57" s="21" t="s">
        <v>179</v>
      </c>
      <c r="G57" s="28" t="s">
        <v>407</v>
      </c>
      <c r="H57" s="3" t="s">
        <v>419</v>
      </c>
      <c r="I57" s="38" t="str">
        <f t="shared" si="0"/>
        <v>S4</v>
      </c>
      <c r="J57" s="52" t="s">
        <v>368</v>
      </c>
      <c r="K57" s="77" t="s">
        <v>368</v>
      </c>
      <c r="L57" s="77" t="s">
        <v>368</v>
      </c>
      <c r="M57" s="77" t="s">
        <v>368</v>
      </c>
      <c r="N57" s="77" t="s">
        <v>368</v>
      </c>
      <c r="O57" s="32" t="s">
        <v>368</v>
      </c>
    </row>
    <row r="58" spans="1:16" ht="43.5" x14ac:dyDescent="0.35">
      <c r="A58" s="12" t="s">
        <v>22</v>
      </c>
      <c r="B58" s="2" t="s">
        <v>35</v>
      </c>
      <c r="C58" s="7" t="s">
        <v>37</v>
      </c>
      <c r="D58" s="5" t="s">
        <v>16</v>
      </c>
      <c r="E58" s="7" t="s">
        <v>265</v>
      </c>
      <c r="F58" s="21" t="s">
        <v>179</v>
      </c>
      <c r="G58" s="28" t="s">
        <v>407</v>
      </c>
      <c r="H58" s="3" t="s">
        <v>419</v>
      </c>
      <c r="I58" s="38" t="str">
        <f t="shared" si="0"/>
        <v>S4</v>
      </c>
      <c r="J58" s="52" t="s">
        <v>368</v>
      </c>
      <c r="K58" s="77" t="s">
        <v>368</v>
      </c>
      <c r="L58" s="77" t="s">
        <v>368</v>
      </c>
      <c r="M58" s="77" t="s">
        <v>368</v>
      </c>
      <c r="N58" s="77" t="s">
        <v>368</v>
      </c>
      <c r="O58" s="32" t="s">
        <v>368</v>
      </c>
    </row>
    <row r="59" spans="1:16" ht="29" x14ac:dyDescent="0.35">
      <c r="A59" s="12" t="s">
        <v>22</v>
      </c>
      <c r="B59" s="2" t="s">
        <v>35</v>
      </c>
      <c r="C59" s="7" t="s">
        <v>37</v>
      </c>
      <c r="D59" s="5" t="s">
        <v>145</v>
      </c>
      <c r="E59" s="7" t="s">
        <v>266</v>
      </c>
      <c r="F59" s="20" t="s">
        <v>172</v>
      </c>
      <c r="G59" s="28" t="s">
        <v>405</v>
      </c>
      <c r="H59" s="3" t="s">
        <v>419</v>
      </c>
      <c r="I59" s="38" t="str">
        <f t="shared" si="0"/>
        <v>S4</v>
      </c>
      <c r="J59" s="52" t="s">
        <v>368</v>
      </c>
      <c r="K59" s="77" t="s">
        <v>368</v>
      </c>
      <c r="L59" s="77" t="s">
        <v>368</v>
      </c>
      <c r="M59" s="77" t="s">
        <v>368</v>
      </c>
      <c r="N59" s="77" t="s">
        <v>368</v>
      </c>
      <c r="O59" s="32" t="s">
        <v>368</v>
      </c>
    </row>
    <row r="60" spans="1:16" ht="29" x14ac:dyDescent="0.35">
      <c r="A60" s="12" t="s">
        <v>22</v>
      </c>
      <c r="B60" s="2" t="s">
        <v>35</v>
      </c>
      <c r="C60" s="7" t="s">
        <v>37</v>
      </c>
      <c r="D60" s="5" t="s">
        <v>146</v>
      </c>
      <c r="E60" s="7" t="s">
        <v>267</v>
      </c>
      <c r="F60" s="20" t="s">
        <v>172</v>
      </c>
      <c r="G60" s="28" t="s">
        <v>405</v>
      </c>
      <c r="H60" s="3" t="s">
        <v>419</v>
      </c>
      <c r="I60" s="38" t="str">
        <f t="shared" si="0"/>
        <v>S4</v>
      </c>
      <c r="J60" s="52" t="s">
        <v>368</v>
      </c>
      <c r="K60" s="77" t="s">
        <v>368</v>
      </c>
      <c r="L60" s="77" t="s">
        <v>368</v>
      </c>
      <c r="M60" s="77" t="s">
        <v>368</v>
      </c>
      <c r="N60" s="77" t="s">
        <v>368</v>
      </c>
      <c r="O60" s="32" t="s">
        <v>368</v>
      </c>
    </row>
    <row r="61" spans="1:16" ht="29" x14ac:dyDescent="0.35">
      <c r="A61" s="12" t="s">
        <v>22</v>
      </c>
      <c r="B61" s="2" t="s">
        <v>35</v>
      </c>
      <c r="C61" s="7" t="s">
        <v>37</v>
      </c>
      <c r="D61" s="5" t="s">
        <v>147</v>
      </c>
      <c r="E61" s="7" t="s">
        <v>268</v>
      </c>
      <c r="F61" s="20" t="s">
        <v>172</v>
      </c>
      <c r="G61" s="28" t="s">
        <v>405</v>
      </c>
      <c r="H61" s="3" t="s">
        <v>419</v>
      </c>
      <c r="I61" s="38" t="str">
        <f t="shared" si="0"/>
        <v>S4</v>
      </c>
      <c r="J61" s="52" t="s">
        <v>368</v>
      </c>
      <c r="K61" s="77" t="s">
        <v>368</v>
      </c>
      <c r="L61" s="77" t="s">
        <v>368</v>
      </c>
      <c r="M61" s="77" t="s">
        <v>368</v>
      </c>
      <c r="N61" s="77" t="s">
        <v>368</v>
      </c>
      <c r="O61" s="32" t="s">
        <v>368</v>
      </c>
    </row>
    <row r="62" spans="1:16" ht="29" x14ac:dyDescent="0.35">
      <c r="A62" s="12" t="s">
        <v>22</v>
      </c>
      <c r="B62" s="2" t="s">
        <v>35</v>
      </c>
      <c r="C62" s="7" t="s">
        <v>37</v>
      </c>
      <c r="D62" s="5" t="s">
        <v>148</v>
      </c>
      <c r="E62" s="7" t="s">
        <v>269</v>
      </c>
      <c r="F62" s="20" t="s">
        <v>172</v>
      </c>
      <c r="G62" s="28" t="s">
        <v>405</v>
      </c>
      <c r="H62" s="3" t="s">
        <v>419</v>
      </c>
      <c r="I62" s="38" t="str">
        <f t="shared" si="0"/>
        <v>S4</v>
      </c>
      <c r="J62" s="52" t="s">
        <v>368</v>
      </c>
      <c r="K62" s="77" t="s">
        <v>368</v>
      </c>
      <c r="L62" s="77" t="s">
        <v>368</v>
      </c>
      <c r="M62" s="77" t="s">
        <v>368</v>
      </c>
      <c r="N62" s="77" t="s">
        <v>368</v>
      </c>
      <c r="O62" s="32" t="s">
        <v>368</v>
      </c>
    </row>
    <row r="63" spans="1:16" ht="29" x14ac:dyDescent="0.35">
      <c r="A63" s="12" t="s">
        <v>22</v>
      </c>
      <c r="B63" s="2" t="s">
        <v>35</v>
      </c>
      <c r="C63" s="7" t="s">
        <v>37</v>
      </c>
      <c r="D63" s="5" t="s">
        <v>149</v>
      </c>
      <c r="E63" s="7" t="s">
        <v>270</v>
      </c>
      <c r="F63" s="20" t="s">
        <v>172</v>
      </c>
      <c r="G63" s="28" t="s">
        <v>405</v>
      </c>
      <c r="H63" s="3" t="s">
        <v>419</v>
      </c>
      <c r="I63" s="38" t="str">
        <f t="shared" si="0"/>
        <v>S4</v>
      </c>
      <c r="J63" s="52" t="s">
        <v>368</v>
      </c>
      <c r="K63" s="77" t="s">
        <v>368</v>
      </c>
      <c r="L63" s="77" t="s">
        <v>368</v>
      </c>
      <c r="M63" s="77" t="s">
        <v>368</v>
      </c>
      <c r="N63" s="77" t="s">
        <v>368</v>
      </c>
      <c r="O63" s="32" t="s">
        <v>368</v>
      </c>
    </row>
    <row r="64" spans="1:16" ht="29" x14ac:dyDescent="0.35">
      <c r="A64" s="12" t="s">
        <v>22</v>
      </c>
      <c r="B64" s="2" t="s">
        <v>35</v>
      </c>
      <c r="C64" s="7" t="s">
        <v>37</v>
      </c>
      <c r="D64" s="5" t="s">
        <v>150</v>
      </c>
      <c r="E64" s="7" t="s">
        <v>271</v>
      </c>
      <c r="F64" s="20" t="s">
        <v>172</v>
      </c>
      <c r="G64" s="28" t="s">
        <v>405</v>
      </c>
      <c r="H64" s="3" t="s">
        <v>419</v>
      </c>
      <c r="I64" s="38" t="str">
        <f t="shared" si="0"/>
        <v>S4</v>
      </c>
      <c r="J64" s="52" t="s">
        <v>368</v>
      </c>
      <c r="K64" s="77" t="s">
        <v>368</v>
      </c>
      <c r="L64" s="77" t="s">
        <v>368</v>
      </c>
      <c r="M64" s="77" t="s">
        <v>368</v>
      </c>
      <c r="N64" s="77" t="s">
        <v>368</v>
      </c>
      <c r="O64" s="32" t="s">
        <v>368</v>
      </c>
    </row>
    <row r="65" spans="1:16" ht="43.5" x14ac:dyDescent="0.35">
      <c r="A65" s="12" t="s">
        <v>22</v>
      </c>
      <c r="B65" s="2" t="s">
        <v>35</v>
      </c>
      <c r="C65" s="7" t="s">
        <v>37</v>
      </c>
      <c r="D65" s="5" t="s">
        <v>151</v>
      </c>
      <c r="E65" s="7" t="s">
        <v>272</v>
      </c>
      <c r="F65" s="20" t="s">
        <v>172</v>
      </c>
      <c r="G65" s="28" t="s">
        <v>405</v>
      </c>
      <c r="H65" s="3" t="s">
        <v>419</v>
      </c>
      <c r="I65" s="38" t="str">
        <f t="shared" si="0"/>
        <v>S4</v>
      </c>
      <c r="J65" s="52" t="s">
        <v>368</v>
      </c>
      <c r="K65" s="77" t="s">
        <v>368</v>
      </c>
      <c r="L65" s="77" t="s">
        <v>368</v>
      </c>
      <c r="M65" s="77" t="s">
        <v>368</v>
      </c>
      <c r="N65" s="77" t="s">
        <v>368</v>
      </c>
      <c r="O65" s="32" t="s">
        <v>368</v>
      </c>
    </row>
    <row r="66" spans="1:16" ht="29" x14ac:dyDescent="0.35">
      <c r="A66" s="12" t="s">
        <v>22</v>
      </c>
      <c r="B66" s="2" t="s">
        <v>35</v>
      </c>
      <c r="C66" s="7" t="s">
        <v>37</v>
      </c>
      <c r="D66" s="5" t="s">
        <v>152</v>
      </c>
      <c r="E66" s="7" t="s">
        <v>273</v>
      </c>
      <c r="F66" s="20" t="s">
        <v>172</v>
      </c>
      <c r="G66" s="28" t="s">
        <v>405</v>
      </c>
      <c r="H66" s="3" t="s">
        <v>419</v>
      </c>
      <c r="I66" s="38" t="str">
        <f t="shared" si="0"/>
        <v>S4</v>
      </c>
      <c r="J66" s="52" t="s">
        <v>368</v>
      </c>
      <c r="K66" s="77" t="s">
        <v>368</v>
      </c>
      <c r="L66" s="77" t="s">
        <v>368</v>
      </c>
      <c r="M66" s="77" t="s">
        <v>368</v>
      </c>
      <c r="N66" s="77" t="s">
        <v>368</v>
      </c>
      <c r="O66" s="32" t="s">
        <v>368</v>
      </c>
    </row>
    <row r="67" spans="1:16" ht="29" x14ac:dyDescent="0.35">
      <c r="A67" s="12" t="s">
        <v>22</v>
      </c>
      <c r="B67" s="2" t="s">
        <v>35</v>
      </c>
      <c r="C67" s="7" t="s">
        <v>37</v>
      </c>
      <c r="D67" s="5" t="s">
        <v>153</v>
      </c>
      <c r="E67" s="7" t="s">
        <v>274</v>
      </c>
      <c r="F67" s="20" t="s">
        <v>172</v>
      </c>
      <c r="G67" s="28" t="s">
        <v>405</v>
      </c>
      <c r="H67" s="3" t="s">
        <v>419</v>
      </c>
      <c r="I67" s="38" t="str">
        <f t="shared" si="0"/>
        <v>S4</v>
      </c>
      <c r="J67" s="52" t="s">
        <v>368</v>
      </c>
      <c r="K67" s="77" t="s">
        <v>368</v>
      </c>
      <c r="L67" s="77" t="s">
        <v>368</v>
      </c>
      <c r="M67" s="77" t="s">
        <v>368</v>
      </c>
      <c r="N67" s="77" t="s">
        <v>368</v>
      </c>
      <c r="O67" s="32" t="s">
        <v>368</v>
      </c>
    </row>
    <row r="68" spans="1:16" ht="29" x14ac:dyDescent="0.35">
      <c r="A68" s="12" t="s">
        <v>22</v>
      </c>
      <c r="B68" s="2" t="s">
        <v>35</v>
      </c>
      <c r="C68" s="7" t="s">
        <v>37</v>
      </c>
      <c r="D68" s="5" t="s">
        <v>154</v>
      </c>
      <c r="E68" s="7" t="s">
        <v>275</v>
      </c>
      <c r="F68" s="20" t="s">
        <v>172</v>
      </c>
      <c r="G68" s="28" t="s">
        <v>405</v>
      </c>
      <c r="H68" s="3" t="s">
        <v>419</v>
      </c>
      <c r="I68" s="38" t="str">
        <f t="shared" ref="I68:I131" si="1">_xlfn.LET(
_xlpm.A,6-VALUE(RIGHT(TRIM(CLEAN(G68)),1)),
_xlpm.E,6-VALUE(RIGHT(TRIM(CLEAN(H68)),1)),
IF(AND(_xlpm.A&gt;=4,_xlpm.E&gt;=4),"S1",
IF(OR(AND(_xlpm.A=3,_xlpm.E&gt;=3),AND(_xlpm.A&gt;=4,_xlpm.E=3)),"S2",
IF(AND(_xlpm.A=2,_xlpm.E&gt;=3),"S3",
"S4"))))</f>
        <v>S4</v>
      </c>
      <c r="J68" s="52" t="s">
        <v>368</v>
      </c>
      <c r="K68" s="77" t="s">
        <v>368</v>
      </c>
      <c r="L68" s="77" t="s">
        <v>368</v>
      </c>
      <c r="M68" s="77" t="s">
        <v>368</v>
      </c>
      <c r="N68" s="77" t="s">
        <v>368</v>
      </c>
      <c r="O68" s="32" t="s">
        <v>368</v>
      </c>
    </row>
    <row r="69" spans="1:16" ht="29" x14ac:dyDescent="0.35">
      <c r="A69" s="12" t="s">
        <v>22</v>
      </c>
      <c r="B69" s="2" t="s">
        <v>35</v>
      </c>
      <c r="C69" s="7" t="s">
        <v>37</v>
      </c>
      <c r="D69" s="5" t="s">
        <v>155</v>
      </c>
      <c r="E69" s="7" t="s">
        <v>276</v>
      </c>
      <c r="F69" s="20" t="s">
        <v>172</v>
      </c>
      <c r="G69" s="28" t="s">
        <v>405</v>
      </c>
      <c r="H69" s="3" t="s">
        <v>419</v>
      </c>
      <c r="I69" s="38" t="str">
        <f t="shared" si="1"/>
        <v>S4</v>
      </c>
      <c r="J69" s="52" t="s">
        <v>368</v>
      </c>
      <c r="K69" s="77" t="s">
        <v>368</v>
      </c>
      <c r="L69" s="77" t="s">
        <v>368</v>
      </c>
      <c r="M69" s="77" t="s">
        <v>368</v>
      </c>
      <c r="N69" s="77" t="s">
        <v>368</v>
      </c>
      <c r="O69" s="32" t="s">
        <v>368</v>
      </c>
    </row>
    <row r="70" spans="1:16" ht="29" x14ac:dyDescent="0.35">
      <c r="A70" s="12" t="s">
        <v>22</v>
      </c>
      <c r="B70" s="2" t="s">
        <v>35</v>
      </c>
      <c r="C70" s="7" t="s">
        <v>37</v>
      </c>
      <c r="D70" s="5" t="s">
        <v>156</v>
      </c>
      <c r="E70" s="7" t="s">
        <v>277</v>
      </c>
      <c r="F70" s="20" t="s">
        <v>172</v>
      </c>
      <c r="G70" s="28" t="s">
        <v>405</v>
      </c>
      <c r="H70" s="3" t="s">
        <v>419</v>
      </c>
      <c r="I70" s="38" t="str">
        <f t="shared" si="1"/>
        <v>S4</v>
      </c>
      <c r="J70" s="52" t="s">
        <v>368</v>
      </c>
      <c r="K70" s="77" t="s">
        <v>368</v>
      </c>
      <c r="L70" s="77" t="s">
        <v>368</v>
      </c>
      <c r="M70" s="77" t="s">
        <v>368</v>
      </c>
      <c r="N70" s="77" t="s">
        <v>368</v>
      </c>
      <c r="O70" s="32" t="s">
        <v>368</v>
      </c>
    </row>
    <row r="71" spans="1:16" ht="29" x14ac:dyDescent="0.35">
      <c r="A71" s="12" t="s">
        <v>22</v>
      </c>
      <c r="B71" s="2" t="s">
        <v>35</v>
      </c>
      <c r="C71" s="7" t="s">
        <v>37</v>
      </c>
      <c r="D71" s="5" t="s">
        <v>157</v>
      </c>
      <c r="E71" s="7" t="s">
        <v>278</v>
      </c>
      <c r="F71" s="20" t="s">
        <v>172</v>
      </c>
      <c r="G71" s="28" t="s">
        <v>405</v>
      </c>
      <c r="H71" s="3" t="s">
        <v>419</v>
      </c>
      <c r="I71" s="38" t="str">
        <f t="shared" si="1"/>
        <v>S4</v>
      </c>
      <c r="J71" s="52" t="s">
        <v>368</v>
      </c>
      <c r="K71" s="77" t="s">
        <v>368</v>
      </c>
      <c r="L71" s="77" t="s">
        <v>368</v>
      </c>
      <c r="M71" s="77" t="s">
        <v>368</v>
      </c>
      <c r="N71" s="77" t="s">
        <v>368</v>
      </c>
      <c r="O71" s="32" t="s">
        <v>368</v>
      </c>
    </row>
    <row r="72" spans="1:16" ht="29" x14ac:dyDescent="0.35">
      <c r="A72" s="12" t="s">
        <v>22</v>
      </c>
      <c r="B72" s="2" t="s">
        <v>35</v>
      </c>
      <c r="C72" s="7" t="s">
        <v>37</v>
      </c>
      <c r="D72" s="5" t="s">
        <v>158</v>
      </c>
      <c r="E72" s="7" t="s">
        <v>279</v>
      </c>
      <c r="F72" s="20" t="s">
        <v>172</v>
      </c>
      <c r="G72" s="28" t="s">
        <v>405</v>
      </c>
      <c r="H72" s="3" t="s">
        <v>419</v>
      </c>
      <c r="I72" s="38" t="str">
        <f t="shared" si="1"/>
        <v>S4</v>
      </c>
      <c r="J72" s="52" t="s">
        <v>368</v>
      </c>
      <c r="K72" s="77" t="s">
        <v>368</v>
      </c>
      <c r="L72" s="77" t="s">
        <v>368</v>
      </c>
      <c r="M72" s="77" t="s">
        <v>368</v>
      </c>
      <c r="N72" s="77" t="s">
        <v>368</v>
      </c>
      <c r="O72" s="32" t="s">
        <v>368</v>
      </c>
    </row>
    <row r="73" spans="1:16" ht="29" x14ac:dyDescent="0.35">
      <c r="A73" s="12" t="s">
        <v>22</v>
      </c>
      <c r="B73" s="2" t="s">
        <v>35</v>
      </c>
      <c r="C73" s="7" t="s">
        <v>37</v>
      </c>
      <c r="D73" s="5" t="s">
        <v>159</v>
      </c>
      <c r="E73" s="7" t="s">
        <v>280</v>
      </c>
      <c r="F73" s="20" t="s">
        <v>172</v>
      </c>
      <c r="G73" s="28" t="s">
        <v>405</v>
      </c>
      <c r="H73" s="3" t="s">
        <v>419</v>
      </c>
      <c r="I73" s="38" t="str">
        <f t="shared" si="1"/>
        <v>S4</v>
      </c>
      <c r="J73" s="52" t="s">
        <v>368</v>
      </c>
      <c r="K73" s="77" t="s">
        <v>368</v>
      </c>
      <c r="L73" s="77" t="s">
        <v>368</v>
      </c>
      <c r="M73" s="77" t="s">
        <v>368</v>
      </c>
      <c r="N73" s="77" t="s">
        <v>368</v>
      </c>
      <c r="O73" s="32" t="s">
        <v>368</v>
      </c>
    </row>
    <row r="74" spans="1:16" ht="29" x14ac:dyDescent="0.35">
      <c r="A74" s="12" t="s">
        <v>22</v>
      </c>
      <c r="B74" s="2" t="s">
        <v>35</v>
      </c>
      <c r="C74" s="7" t="s">
        <v>37</v>
      </c>
      <c r="D74" s="5" t="s">
        <v>160</v>
      </c>
      <c r="E74" s="7" t="s">
        <v>281</v>
      </c>
      <c r="F74" s="20" t="s">
        <v>172</v>
      </c>
      <c r="G74" s="28" t="s">
        <v>405</v>
      </c>
      <c r="H74" s="3" t="s">
        <v>419</v>
      </c>
      <c r="I74" s="38" t="str">
        <f t="shared" si="1"/>
        <v>S4</v>
      </c>
      <c r="J74" s="52" t="s">
        <v>368</v>
      </c>
      <c r="K74" s="77" t="s">
        <v>368</v>
      </c>
      <c r="L74" s="77" t="s">
        <v>368</v>
      </c>
      <c r="M74" s="77" t="s">
        <v>368</v>
      </c>
      <c r="N74" s="77" t="s">
        <v>368</v>
      </c>
      <c r="O74" s="32" t="s">
        <v>368</v>
      </c>
    </row>
    <row r="75" spans="1:16" x14ac:dyDescent="0.35">
      <c r="A75" s="12" t="s">
        <v>22</v>
      </c>
      <c r="B75" s="2" t="s">
        <v>35</v>
      </c>
      <c r="C75" s="7" t="s">
        <v>37</v>
      </c>
      <c r="D75" s="5" t="s">
        <v>10</v>
      </c>
      <c r="E75" s="7" t="s">
        <v>282</v>
      </c>
      <c r="F75" s="21" t="s">
        <v>182</v>
      </c>
      <c r="G75" s="29" t="s">
        <v>407</v>
      </c>
      <c r="H75" s="3" t="s">
        <v>420</v>
      </c>
      <c r="I75" s="38" t="str">
        <f t="shared" si="1"/>
        <v>S4</v>
      </c>
      <c r="J75" s="52" t="s">
        <v>368</v>
      </c>
      <c r="K75" s="77" t="s">
        <v>368</v>
      </c>
      <c r="L75" s="77" t="s">
        <v>368</v>
      </c>
      <c r="M75" s="77" t="s">
        <v>368</v>
      </c>
      <c r="N75" s="77" t="s">
        <v>368</v>
      </c>
      <c r="O75" s="32" t="s">
        <v>368</v>
      </c>
    </row>
    <row r="76" spans="1:16" ht="29" x14ac:dyDescent="0.35">
      <c r="A76" s="12" t="s">
        <v>22</v>
      </c>
      <c r="B76" s="2" t="s">
        <v>35</v>
      </c>
      <c r="C76" s="7" t="s">
        <v>38</v>
      </c>
      <c r="D76" s="5" t="s">
        <v>130</v>
      </c>
      <c r="E76" s="7" t="s">
        <v>283</v>
      </c>
      <c r="F76" s="21" t="s">
        <v>173</v>
      </c>
      <c r="G76" s="28" t="s">
        <v>405</v>
      </c>
      <c r="H76" s="3" t="s">
        <v>415</v>
      </c>
      <c r="I76" s="9" t="str">
        <f t="shared" si="1"/>
        <v>S3</v>
      </c>
      <c r="J76" s="51" t="s">
        <v>375</v>
      </c>
      <c r="K76" s="72" t="s">
        <v>375</v>
      </c>
      <c r="L76" s="72" t="s">
        <v>375</v>
      </c>
      <c r="M76" s="72" t="s">
        <v>375</v>
      </c>
      <c r="N76" s="72" t="s">
        <v>375</v>
      </c>
      <c r="O76" s="44" t="s">
        <v>375</v>
      </c>
      <c r="P76" s="23">
        <v>1</v>
      </c>
    </row>
    <row r="77" spans="1:16" ht="29" x14ac:dyDescent="0.35">
      <c r="A77" s="12" t="s">
        <v>22</v>
      </c>
      <c r="B77" s="2" t="s">
        <v>35</v>
      </c>
      <c r="C77" s="7" t="s">
        <v>38</v>
      </c>
      <c r="D77" s="5" t="s">
        <v>131</v>
      </c>
      <c r="E77" s="7" t="s">
        <v>284</v>
      </c>
      <c r="F77" s="20" t="s">
        <v>172</v>
      </c>
      <c r="G77" s="28" t="s">
        <v>407</v>
      </c>
      <c r="H77" s="3" t="s">
        <v>420</v>
      </c>
      <c r="I77" s="38" t="str">
        <f t="shared" si="1"/>
        <v>S4</v>
      </c>
      <c r="J77" s="52" t="s">
        <v>368</v>
      </c>
      <c r="K77" s="77" t="s">
        <v>368</v>
      </c>
      <c r="L77" s="77" t="s">
        <v>368</v>
      </c>
      <c r="M77" s="77" t="s">
        <v>368</v>
      </c>
      <c r="N77" s="77" t="s">
        <v>368</v>
      </c>
      <c r="O77" s="32" t="s">
        <v>368</v>
      </c>
    </row>
    <row r="78" spans="1:16" ht="29" x14ac:dyDescent="0.35">
      <c r="A78" s="12" t="s">
        <v>22</v>
      </c>
      <c r="B78" s="2" t="s">
        <v>35</v>
      </c>
      <c r="C78" s="7" t="s">
        <v>38</v>
      </c>
      <c r="D78" s="5" t="s">
        <v>132</v>
      </c>
      <c r="E78" s="7" t="s">
        <v>285</v>
      </c>
      <c r="F78" s="20" t="s">
        <v>172</v>
      </c>
      <c r="G78" s="28" t="s">
        <v>407</v>
      </c>
      <c r="H78" s="3" t="s">
        <v>420</v>
      </c>
      <c r="I78" s="38" t="str">
        <f t="shared" si="1"/>
        <v>S4</v>
      </c>
      <c r="J78" s="52" t="s">
        <v>368</v>
      </c>
      <c r="K78" s="77" t="s">
        <v>368</v>
      </c>
      <c r="L78" s="77" t="s">
        <v>368</v>
      </c>
      <c r="M78" s="77" t="s">
        <v>368</v>
      </c>
      <c r="N78" s="77" t="s">
        <v>368</v>
      </c>
      <c r="O78" s="32" t="s">
        <v>368</v>
      </c>
    </row>
    <row r="79" spans="1:16" ht="29" x14ac:dyDescent="0.35">
      <c r="A79" s="12" t="s">
        <v>22</v>
      </c>
      <c r="B79" s="2" t="s">
        <v>35</v>
      </c>
      <c r="C79" s="7" t="s">
        <v>38</v>
      </c>
      <c r="D79" s="5" t="s">
        <v>133</v>
      </c>
      <c r="E79" s="7" t="s">
        <v>286</v>
      </c>
      <c r="F79" s="20" t="s">
        <v>172</v>
      </c>
      <c r="G79" s="28" t="s">
        <v>407</v>
      </c>
      <c r="H79" s="3" t="s">
        <v>420</v>
      </c>
      <c r="I79" s="38" t="str">
        <f t="shared" si="1"/>
        <v>S4</v>
      </c>
      <c r="J79" s="52" t="s">
        <v>368</v>
      </c>
      <c r="K79" s="77" t="s">
        <v>368</v>
      </c>
      <c r="L79" s="77" t="s">
        <v>368</v>
      </c>
      <c r="M79" s="77" t="s">
        <v>368</v>
      </c>
      <c r="N79" s="77" t="s">
        <v>368</v>
      </c>
      <c r="O79" s="32" t="s">
        <v>368</v>
      </c>
    </row>
    <row r="80" spans="1:16" x14ac:dyDescent="0.35">
      <c r="A80" s="12" t="s">
        <v>22</v>
      </c>
      <c r="B80" s="2" t="s">
        <v>35</v>
      </c>
      <c r="C80" s="7" t="s">
        <v>38</v>
      </c>
      <c r="D80" s="5" t="s">
        <v>134</v>
      </c>
      <c r="E80" s="7" t="s">
        <v>287</v>
      </c>
      <c r="F80" s="20" t="s">
        <v>172</v>
      </c>
      <c r="G80" s="28" t="s">
        <v>407</v>
      </c>
      <c r="H80" s="3" t="s">
        <v>420</v>
      </c>
      <c r="I80" s="38" t="str">
        <f t="shared" si="1"/>
        <v>S4</v>
      </c>
      <c r="J80" s="52" t="s">
        <v>368</v>
      </c>
      <c r="K80" s="77" t="s">
        <v>368</v>
      </c>
      <c r="L80" s="77" t="s">
        <v>368</v>
      </c>
      <c r="M80" s="77" t="s">
        <v>368</v>
      </c>
      <c r="N80" s="77" t="s">
        <v>368</v>
      </c>
      <c r="O80" s="32" t="s">
        <v>368</v>
      </c>
    </row>
    <row r="81" spans="1:16" ht="29" x14ac:dyDescent="0.35">
      <c r="A81" s="12" t="s">
        <v>22</v>
      </c>
      <c r="B81" s="2" t="s">
        <v>35</v>
      </c>
      <c r="C81" s="7" t="s">
        <v>38</v>
      </c>
      <c r="D81" s="5" t="s">
        <v>135</v>
      </c>
      <c r="E81" s="7" t="s">
        <v>288</v>
      </c>
      <c r="F81" s="20" t="s">
        <v>172</v>
      </c>
      <c r="G81" s="28" t="s">
        <v>407</v>
      </c>
      <c r="H81" s="3" t="s">
        <v>420</v>
      </c>
      <c r="I81" s="38" t="str">
        <f t="shared" si="1"/>
        <v>S4</v>
      </c>
      <c r="J81" s="52" t="s">
        <v>368</v>
      </c>
      <c r="K81" s="77" t="s">
        <v>368</v>
      </c>
      <c r="L81" s="77" t="s">
        <v>368</v>
      </c>
      <c r="M81" s="77" t="s">
        <v>368</v>
      </c>
      <c r="N81" s="77" t="s">
        <v>368</v>
      </c>
      <c r="O81" s="32" t="s">
        <v>368</v>
      </c>
    </row>
    <row r="82" spans="1:16" ht="29" x14ac:dyDescent="0.35">
      <c r="A82" s="12" t="s">
        <v>22</v>
      </c>
      <c r="B82" s="2" t="s">
        <v>35</v>
      </c>
      <c r="C82" s="7" t="s">
        <v>38</v>
      </c>
      <c r="D82" s="5" t="s">
        <v>136</v>
      </c>
      <c r="E82" s="7" t="s">
        <v>289</v>
      </c>
      <c r="F82" s="20" t="s">
        <v>172</v>
      </c>
      <c r="G82" s="28" t="s">
        <v>400</v>
      </c>
      <c r="H82" s="3" t="s">
        <v>413</v>
      </c>
      <c r="I82" s="9" t="str">
        <f t="shared" si="1"/>
        <v>S1</v>
      </c>
      <c r="J82" s="54" t="s">
        <v>376</v>
      </c>
      <c r="K82" s="72" t="s">
        <v>376</v>
      </c>
      <c r="L82" s="72" t="s">
        <v>376</v>
      </c>
      <c r="M82" s="72" t="s">
        <v>376</v>
      </c>
      <c r="N82" s="72" t="s">
        <v>376</v>
      </c>
      <c r="O82" s="44" t="s">
        <v>376</v>
      </c>
      <c r="P82" s="23">
        <v>1</v>
      </c>
    </row>
    <row r="83" spans="1:16" ht="29" x14ac:dyDescent="0.35">
      <c r="A83" s="12" t="s">
        <v>22</v>
      </c>
      <c r="B83" s="2" t="s">
        <v>35</v>
      </c>
      <c r="C83" s="7" t="s">
        <v>38</v>
      </c>
      <c r="D83" s="5" t="s">
        <v>33</v>
      </c>
      <c r="E83" s="7" t="s">
        <v>290</v>
      </c>
      <c r="F83" s="21" t="s">
        <v>175</v>
      </c>
      <c r="G83" s="28" t="s">
        <v>407</v>
      </c>
      <c r="H83" s="3" t="s">
        <v>420</v>
      </c>
      <c r="I83" s="38" t="str">
        <f t="shared" si="1"/>
        <v>S4</v>
      </c>
      <c r="J83" s="52" t="s">
        <v>368</v>
      </c>
      <c r="K83" s="77" t="s">
        <v>368</v>
      </c>
      <c r="L83" s="77" t="s">
        <v>368</v>
      </c>
      <c r="M83" s="77" t="s">
        <v>368</v>
      </c>
      <c r="N83" s="77" t="s">
        <v>368</v>
      </c>
      <c r="O83" s="32" t="s">
        <v>368</v>
      </c>
    </row>
    <row r="84" spans="1:16" x14ac:dyDescent="0.35">
      <c r="A84" s="12" t="s">
        <v>22</v>
      </c>
      <c r="B84" s="2" t="s">
        <v>35</v>
      </c>
      <c r="C84" s="7" t="s">
        <v>38</v>
      </c>
      <c r="D84" s="5" t="s">
        <v>137</v>
      </c>
      <c r="E84" s="7" t="s">
        <v>291</v>
      </c>
      <c r="F84" s="20" t="s">
        <v>172</v>
      </c>
      <c r="G84" s="28" t="s">
        <v>407</v>
      </c>
      <c r="H84" s="3" t="s">
        <v>420</v>
      </c>
      <c r="I84" s="38" t="str">
        <f t="shared" si="1"/>
        <v>S4</v>
      </c>
      <c r="J84" s="52" t="s">
        <v>368</v>
      </c>
      <c r="K84" s="77" t="s">
        <v>368</v>
      </c>
      <c r="L84" s="77" t="s">
        <v>368</v>
      </c>
      <c r="M84" s="77" t="s">
        <v>368</v>
      </c>
      <c r="N84" s="77" t="s">
        <v>368</v>
      </c>
      <c r="O84" s="32" t="s">
        <v>368</v>
      </c>
    </row>
    <row r="85" spans="1:16" x14ac:dyDescent="0.35">
      <c r="A85" s="12" t="s">
        <v>22</v>
      </c>
      <c r="B85" s="2" t="s">
        <v>35</v>
      </c>
      <c r="C85" s="7" t="s">
        <v>38</v>
      </c>
      <c r="D85" s="5" t="s">
        <v>110</v>
      </c>
      <c r="E85" s="7" t="s">
        <v>292</v>
      </c>
      <c r="F85" s="20" t="s">
        <v>172</v>
      </c>
      <c r="G85" s="28" t="s">
        <v>407</v>
      </c>
      <c r="H85" s="3" t="s">
        <v>419</v>
      </c>
      <c r="I85" s="38" t="str">
        <f t="shared" si="1"/>
        <v>S4</v>
      </c>
      <c r="J85" s="52" t="s">
        <v>368</v>
      </c>
      <c r="K85" s="77" t="s">
        <v>368</v>
      </c>
      <c r="L85" s="77" t="s">
        <v>368</v>
      </c>
      <c r="M85" s="77" t="s">
        <v>368</v>
      </c>
      <c r="N85" s="77" t="s">
        <v>368</v>
      </c>
      <c r="O85" s="32" t="s">
        <v>368</v>
      </c>
    </row>
    <row r="86" spans="1:16" x14ac:dyDescent="0.35">
      <c r="A86" s="12" t="s">
        <v>22</v>
      </c>
      <c r="B86" s="2" t="s">
        <v>35</v>
      </c>
      <c r="C86" s="7" t="s">
        <v>38</v>
      </c>
      <c r="D86" s="5" t="s">
        <v>112</v>
      </c>
      <c r="E86" s="7" t="s">
        <v>293</v>
      </c>
      <c r="F86" s="21" t="s">
        <v>173</v>
      </c>
      <c r="G86" s="28" t="s">
        <v>405</v>
      </c>
      <c r="H86" s="3" t="s">
        <v>419</v>
      </c>
      <c r="I86" s="38" t="str">
        <f t="shared" si="1"/>
        <v>S4</v>
      </c>
      <c r="J86" s="52" t="s">
        <v>368</v>
      </c>
      <c r="K86" s="77" t="s">
        <v>368</v>
      </c>
      <c r="L86" s="77" t="s">
        <v>368</v>
      </c>
      <c r="M86" s="77" t="s">
        <v>368</v>
      </c>
      <c r="N86" s="77" t="s">
        <v>368</v>
      </c>
      <c r="O86" s="32" t="s">
        <v>368</v>
      </c>
    </row>
    <row r="87" spans="1:16" x14ac:dyDescent="0.35">
      <c r="A87" s="12" t="s">
        <v>22</v>
      </c>
      <c r="B87" s="2" t="s">
        <v>35</v>
      </c>
      <c r="C87" s="7" t="s">
        <v>38</v>
      </c>
      <c r="D87" s="5" t="s">
        <v>10</v>
      </c>
      <c r="E87" s="7" t="s">
        <v>294</v>
      </c>
      <c r="F87" s="21" t="s">
        <v>182</v>
      </c>
      <c r="G87" s="29" t="s">
        <v>407</v>
      </c>
      <c r="H87" s="3" t="s">
        <v>420</v>
      </c>
      <c r="I87" s="38" t="str">
        <f t="shared" si="1"/>
        <v>S4</v>
      </c>
      <c r="J87" s="52" t="s">
        <v>368</v>
      </c>
      <c r="K87" s="77" t="s">
        <v>368</v>
      </c>
      <c r="L87" s="77" t="s">
        <v>368</v>
      </c>
      <c r="M87" s="77" t="s">
        <v>368</v>
      </c>
      <c r="N87" s="77" t="s">
        <v>368</v>
      </c>
      <c r="O87" s="32" t="s">
        <v>368</v>
      </c>
    </row>
    <row r="88" spans="1:16" ht="29" x14ac:dyDescent="0.35">
      <c r="A88" s="12" t="s">
        <v>22</v>
      </c>
      <c r="B88" s="2" t="s">
        <v>35</v>
      </c>
      <c r="C88" s="7" t="s">
        <v>39</v>
      </c>
      <c r="D88" s="5" t="s">
        <v>138</v>
      </c>
      <c r="E88" s="7" t="s">
        <v>295</v>
      </c>
      <c r="F88" s="20" t="s">
        <v>172</v>
      </c>
      <c r="G88" s="28" t="s">
        <v>407</v>
      </c>
      <c r="H88" s="3" t="s">
        <v>420</v>
      </c>
      <c r="I88" s="38" t="str">
        <f t="shared" si="1"/>
        <v>S4</v>
      </c>
      <c r="J88" s="52" t="s">
        <v>368</v>
      </c>
      <c r="K88" s="77" t="s">
        <v>368</v>
      </c>
      <c r="L88" s="77" t="s">
        <v>368</v>
      </c>
      <c r="M88" s="77" t="s">
        <v>368</v>
      </c>
      <c r="N88" s="77" t="s">
        <v>368</v>
      </c>
      <c r="O88" s="32" t="s">
        <v>368</v>
      </c>
    </row>
    <row r="89" spans="1:16" x14ac:dyDescent="0.35">
      <c r="A89" s="12" t="s">
        <v>22</v>
      </c>
      <c r="B89" s="2" t="s">
        <v>35</v>
      </c>
      <c r="C89" s="7" t="s">
        <v>39</v>
      </c>
      <c r="D89" s="5" t="s">
        <v>139</v>
      </c>
      <c r="E89" s="7" t="s">
        <v>296</v>
      </c>
      <c r="F89" s="20" t="s">
        <v>172</v>
      </c>
      <c r="G89" s="28" t="s">
        <v>407</v>
      </c>
      <c r="H89" s="3" t="s">
        <v>420</v>
      </c>
      <c r="I89" s="38" t="str">
        <f t="shared" si="1"/>
        <v>S4</v>
      </c>
      <c r="J89" s="52" t="s">
        <v>368</v>
      </c>
      <c r="K89" s="77" t="s">
        <v>368</v>
      </c>
      <c r="L89" s="77" t="s">
        <v>368</v>
      </c>
      <c r="M89" s="77" t="s">
        <v>368</v>
      </c>
      <c r="N89" s="77" t="s">
        <v>368</v>
      </c>
      <c r="O89" s="32" t="s">
        <v>368</v>
      </c>
    </row>
    <row r="90" spans="1:16" x14ac:dyDescent="0.35">
      <c r="A90" s="12" t="s">
        <v>22</v>
      </c>
      <c r="B90" s="2" t="s">
        <v>35</v>
      </c>
      <c r="C90" s="7" t="s">
        <v>39</v>
      </c>
      <c r="D90" s="5" t="s">
        <v>140</v>
      </c>
      <c r="E90" s="7" t="s">
        <v>297</v>
      </c>
      <c r="F90" s="20" t="s">
        <v>172</v>
      </c>
      <c r="G90" s="28" t="s">
        <v>407</v>
      </c>
      <c r="H90" s="3" t="s">
        <v>420</v>
      </c>
      <c r="I90" s="38" t="str">
        <f t="shared" si="1"/>
        <v>S4</v>
      </c>
      <c r="J90" s="52" t="s">
        <v>368</v>
      </c>
      <c r="K90" s="77" t="s">
        <v>368</v>
      </c>
      <c r="L90" s="77" t="s">
        <v>368</v>
      </c>
      <c r="M90" s="77" t="s">
        <v>368</v>
      </c>
      <c r="N90" s="77" t="s">
        <v>368</v>
      </c>
      <c r="O90" s="32" t="s">
        <v>368</v>
      </c>
    </row>
    <row r="91" spans="1:16" x14ac:dyDescent="0.35">
      <c r="A91" s="12" t="s">
        <v>22</v>
      </c>
      <c r="B91" s="2" t="s">
        <v>35</v>
      </c>
      <c r="C91" s="7" t="s">
        <v>39</v>
      </c>
      <c r="D91" s="5" t="s">
        <v>36</v>
      </c>
      <c r="E91" s="7" t="s">
        <v>298</v>
      </c>
      <c r="F91" s="20" t="s">
        <v>172</v>
      </c>
      <c r="G91" s="28" t="s">
        <v>407</v>
      </c>
      <c r="H91" s="3" t="s">
        <v>420</v>
      </c>
      <c r="I91" s="38" t="str">
        <f t="shared" si="1"/>
        <v>S4</v>
      </c>
      <c r="J91" s="52" t="s">
        <v>368</v>
      </c>
      <c r="K91" s="77" t="s">
        <v>368</v>
      </c>
      <c r="L91" s="77" t="s">
        <v>368</v>
      </c>
      <c r="M91" s="77" t="s">
        <v>368</v>
      </c>
      <c r="N91" s="77" t="s">
        <v>368</v>
      </c>
      <c r="O91" s="32" t="s">
        <v>368</v>
      </c>
    </row>
    <row r="92" spans="1:16" x14ac:dyDescent="0.35">
      <c r="A92" s="12" t="s">
        <v>22</v>
      </c>
      <c r="B92" s="2" t="s">
        <v>35</v>
      </c>
      <c r="C92" s="7" t="s">
        <v>39</v>
      </c>
      <c r="D92" s="5" t="s">
        <v>11</v>
      </c>
      <c r="E92" s="7" t="s">
        <v>299</v>
      </c>
      <c r="F92" s="20" t="s">
        <v>172</v>
      </c>
      <c r="G92" s="28" t="s">
        <v>407</v>
      </c>
      <c r="H92" s="3" t="s">
        <v>420</v>
      </c>
      <c r="I92" s="38" t="str">
        <f t="shared" si="1"/>
        <v>S4</v>
      </c>
      <c r="J92" s="52" t="s">
        <v>368</v>
      </c>
      <c r="K92" s="77" t="s">
        <v>368</v>
      </c>
      <c r="L92" s="77" t="s">
        <v>368</v>
      </c>
      <c r="M92" s="77" t="s">
        <v>368</v>
      </c>
      <c r="N92" s="77" t="s">
        <v>368</v>
      </c>
      <c r="O92" s="32" t="s">
        <v>368</v>
      </c>
    </row>
    <row r="93" spans="1:16" x14ac:dyDescent="0.35">
      <c r="A93" s="12" t="s">
        <v>22</v>
      </c>
      <c r="B93" s="2" t="s">
        <v>35</v>
      </c>
      <c r="C93" s="7" t="s">
        <v>39</v>
      </c>
      <c r="D93" s="5" t="s">
        <v>141</v>
      </c>
      <c r="E93" s="7" t="s">
        <v>300</v>
      </c>
      <c r="F93" s="20" t="s">
        <v>172</v>
      </c>
      <c r="G93" s="28" t="s">
        <v>407</v>
      </c>
      <c r="H93" s="3" t="s">
        <v>420</v>
      </c>
      <c r="I93" s="38" t="str">
        <f t="shared" si="1"/>
        <v>S4</v>
      </c>
      <c r="J93" s="52" t="s">
        <v>368</v>
      </c>
      <c r="K93" s="77" t="s">
        <v>368</v>
      </c>
      <c r="L93" s="77" t="s">
        <v>368</v>
      </c>
      <c r="M93" s="77" t="s">
        <v>368</v>
      </c>
      <c r="N93" s="77" t="s">
        <v>368</v>
      </c>
      <c r="O93" s="32" t="s">
        <v>368</v>
      </c>
    </row>
    <row r="94" spans="1:16" x14ac:dyDescent="0.35">
      <c r="A94" s="12" t="s">
        <v>22</v>
      </c>
      <c r="B94" s="2" t="s">
        <v>35</v>
      </c>
      <c r="C94" s="7" t="s">
        <v>39</v>
      </c>
      <c r="D94" s="5" t="s">
        <v>142</v>
      </c>
      <c r="E94" s="7" t="s">
        <v>301</v>
      </c>
      <c r="F94" s="20" t="s">
        <v>172</v>
      </c>
      <c r="G94" s="28" t="s">
        <v>407</v>
      </c>
      <c r="H94" s="3" t="s">
        <v>420</v>
      </c>
      <c r="I94" s="38" t="str">
        <f t="shared" si="1"/>
        <v>S4</v>
      </c>
      <c r="J94" s="52" t="s">
        <v>368</v>
      </c>
      <c r="K94" s="77" t="s">
        <v>368</v>
      </c>
      <c r="L94" s="77" t="s">
        <v>368</v>
      </c>
      <c r="M94" s="77" t="s">
        <v>368</v>
      </c>
      <c r="N94" s="77" t="s">
        <v>368</v>
      </c>
      <c r="O94" s="32" t="s">
        <v>368</v>
      </c>
    </row>
    <row r="95" spans="1:16" x14ac:dyDescent="0.35">
      <c r="A95" s="12" t="s">
        <v>22</v>
      </c>
      <c r="B95" s="2" t="s">
        <v>35</v>
      </c>
      <c r="C95" s="7" t="s">
        <v>39</v>
      </c>
      <c r="D95" s="5" t="s">
        <v>143</v>
      </c>
      <c r="E95" s="7" t="s">
        <v>302</v>
      </c>
      <c r="F95" s="20" t="s">
        <v>172</v>
      </c>
      <c r="G95" s="28" t="s">
        <v>407</v>
      </c>
      <c r="H95" s="3" t="s">
        <v>420</v>
      </c>
      <c r="I95" s="38" t="str">
        <f t="shared" si="1"/>
        <v>S4</v>
      </c>
      <c r="J95" s="52" t="s">
        <v>368</v>
      </c>
      <c r="K95" s="77" t="s">
        <v>368</v>
      </c>
      <c r="L95" s="77" t="s">
        <v>368</v>
      </c>
      <c r="M95" s="77" t="s">
        <v>368</v>
      </c>
      <c r="N95" s="77" t="s">
        <v>368</v>
      </c>
      <c r="O95" s="32" t="s">
        <v>368</v>
      </c>
    </row>
    <row r="96" spans="1:16" x14ac:dyDescent="0.35">
      <c r="A96" s="12" t="s">
        <v>22</v>
      </c>
      <c r="B96" s="2" t="s">
        <v>35</v>
      </c>
      <c r="C96" s="7" t="s">
        <v>39</v>
      </c>
      <c r="D96" s="5" t="s">
        <v>144</v>
      </c>
      <c r="E96" s="7" t="s">
        <v>303</v>
      </c>
      <c r="F96" s="20" t="s">
        <v>172</v>
      </c>
      <c r="G96" s="28" t="s">
        <v>407</v>
      </c>
      <c r="H96" s="3" t="s">
        <v>420</v>
      </c>
      <c r="I96" s="38" t="str">
        <f t="shared" si="1"/>
        <v>S4</v>
      </c>
      <c r="J96" s="52" t="s">
        <v>368</v>
      </c>
      <c r="K96" s="77" t="s">
        <v>368</v>
      </c>
      <c r="L96" s="77" t="s">
        <v>368</v>
      </c>
      <c r="M96" s="77" t="s">
        <v>368</v>
      </c>
      <c r="N96" s="77" t="s">
        <v>368</v>
      </c>
      <c r="O96" s="32" t="s">
        <v>368</v>
      </c>
    </row>
    <row r="97" spans="1:16" x14ac:dyDescent="0.35">
      <c r="A97" s="12" t="s">
        <v>22</v>
      </c>
      <c r="B97" s="2" t="s">
        <v>35</v>
      </c>
      <c r="C97" s="7" t="s">
        <v>39</v>
      </c>
      <c r="D97" s="7" t="s">
        <v>10</v>
      </c>
      <c r="E97" s="7" t="s">
        <v>304</v>
      </c>
      <c r="F97" s="20" t="s">
        <v>172</v>
      </c>
      <c r="G97" s="28" t="s">
        <v>407</v>
      </c>
      <c r="H97" s="3" t="s">
        <v>420</v>
      </c>
      <c r="I97" s="31" t="str">
        <f t="shared" si="1"/>
        <v>S4</v>
      </c>
      <c r="J97" s="52" t="s">
        <v>368</v>
      </c>
      <c r="K97" s="77" t="s">
        <v>368</v>
      </c>
      <c r="L97" s="77" t="s">
        <v>368</v>
      </c>
      <c r="M97" s="77" t="s">
        <v>368</v>
      </c>
      <c r="N97" s="77" t="s">
        <v>368</v>
      </c>
      <c r="O97" s="32" t="s">
        <v>368</v>
      </c>
    </row>
    <row r="98" spans="1:16" ht="58" x14ac:dyDescent="0.35">
      <c r="A98" s="46" t="s">
        <v>22</v>
      </c>
      <c r="B98" s="73" t="s">
        <v>35</v>
      </c>
      <c r="C98" s="74" t="s">
        <v>40</v>
      </c>
      <c r="D98" s="75" t="s">
        <v>5</v>
      </c>
      <c r="E98" s="74" t="s">
        <v>352</v>
      </c>
      <c r="F98" s="47" t="s">
        <v>174</v>
      </c>
      <c r="G98" s="45" t="s">
        <v>405</v>
      </c>
      <c r="H98" s="67" t="s">
        <v>421</v>
      </c>
      <c r="I98" s="42" t="str">
        <f t="shared" si="1"/>
        <v>S3</v>
      </c>
      <c r="J98" s="54" t="s">
        <v>493</v>
      </c>
      <c r="K98" s="76" t="s">
        <v>493</v>
      </c>
      <c r="L98" s="76" t="s">
        <v>493</v>
      </c>
      <c r="M98" s="76" t="s">
        <v>493</v>
      </c>
      <c r="N98" s="76" t="s">
        <v>493</v>
      </c>
      <c r="O98" s="48" t="s">
        <v>493</v>
      </c>
      <c r="P98" s="23">
        <v>1</v>
      </c>
    </row>
    <row r="99" spans="1:16" ht="72.5" x14ac:dyDescent="0.35">
      <c r="A99" s="12" t="s">
        <v>22</v>
      </c>
      <c r="B99" s="2" t="s">
        <v>35</v>
      </c>
      <c r="C99" s="7" t="s">
        <v>14</v>
      </c>
      <c r="D99" s="5" t="s">
        <v>5</v>
      </c>
      <c r="E99" s="7" t="s">
        <v>353</v>
      </c>
      <c r="F99" s="21" t="s">
        <v>194</v>
      </c>
      <c r="G99" s="28" t="s">
        <v>407</v>
      </c>
      <c r="H99" s="3" t="s">
        <v>420</v>
      </c>
      <c r="I99" s="31" t="str">
        <f t="shared" si="1"/>
        <v>S4</v>
      </c>
      <c r="J99" s="52" t="s">
        <v>368</v>
      </c>
      <c r="K99" s="77" t="s">
        <v>368</v>
      </c>
      <c r="L99" s="77" t="s">
        <v>368</v>
      </c>
      <c r="M99" s="77" t="s">
        <v>368</v>
      </c>
      <c r="N99" s="77" t="s">
        <v>368</v>
      </c>
      <c r="O99" s="32" t="s">
        <v>368</v>
      </c>
    </row>
    <row r="100" spans="1:16" ht="87" x14ac:dyDescent="0.35">
      <c r="A100" s="12" t="s">
        <v>22</v>
      </c>
      <c r="B100" s="2" t="s">
        <v>35</v>
      </c>
      <c r="C100" s="7" t="s">
        <v>34</v>
      </c>
      <c r="D100" s="75" t="s">
        <v>121</v>
      </c>
      <c r="E100" s="7" t="s">
        <v>354</v>
      </c>
      <c r="F100" s="21" t="s">
        <v>174</v>
      </c>
      <c r="G100" s="45" t="s">
        <v>405</v>
      </c>
      <c r="H100" s="67" t="s">
        <v>421</v>
      </c>
      <c r="I100" s="42" t="str">
        <f t="shared" si="1"/>
        <v>S3</v>
      </c>
      <c r="J100" s="54" t="s">
        <v>470</v>
      </c>
      <c r="K100" s="76" t="s">
        <v>470</v>
      </c>
      <c r="L100" s="76" t="s">
        <v>470</v>
      </c>
      <c r="M100" s="76" t="s">
        <v>470</v>
      </c>
      <c r="N100" s="76" t="s">
        <v>470</v>
      </c>
      <c r="O100" s="48" t="s">
        <v>470</v>
      </c>
      <c r="P100" s="23">
        <v>1</v>
      </c>
    </row>
    <row r="101" spans="1:16" ht="43.5" x14ac:dyDescent="0.35">
      <c r="A101" s="12" t="s">
        <v>22</v>
      </c>
      <c r="B101" s="2" t="s">
        <v>35</v>
      </c>
      <c r="C101" s="7" t="s">
        <v>34</v>
      </c>
      <c r="D101" s="75" t="s">
        <v>126</v>
      </c>
      <c r="E101" s="7" t="s">
        <v>355</v>
      </c>
      <c r="F101" s="21" t="s">
        <v>170</v>
      </c>
      <c r="G101" s="28" t="s">
        <v>400</v>
      </c>
      <c r="H101" s="68" t="s">
        <v>415</v>
      </c>
      <c r="I101" s="9" t="str">
        <f t="shared" si="1"/>
        <v>S1</v>
      </c>
      <c r="J101" s="54" t="s">
        <v>456</v>
      </c>
      <c r="K101" s="76" t="s">
        <v>456</v>
      </c>
      <c r="L101" s="76" t="s">
        <v>456</v>
      </c>
      <c r="M101" s="76" t="s">
        <v>456</v>
      </c>
      <c r="N101" s="76" t="s">
        <v>456</v>
      </c>
      <c r="O101" s="48" t="s">
        <v>456</v>
      </c>
      <c r="P101" s="23">
        <v>1</v>
      </c>
    </row>
    <row r="102" spans="1:16" s="2" customFormat="1" ht="58" x14ac:dyDescent="0.35">
      <c r="A102" s="12" t="s">
        <v>22</v>
      </c>
      <c r="B102" s="2" t="s">
        <v>35</v>
      </c>
      <c r="C102" s="7" t="s">
        <v>34</v>
      </c>
      <c r="D102" s="5" t="s">
        <v>127</v>
      </c>
      <c r="E102" s="7" t="s">
        <v>356</v>
      </c>
      <c r="F102" s="21" t="s">
        <v>176</v>
      </c>
      <c r="G102" s="28" t="s">
        <v>400</v>
      </c>
      <c r="H102" s="3" t="s">
        <v>415</v>
      </c>
      <c r="I102" s="8" t="str">
        <f t="shared" si="1"/>
        <v>S1</v>
      </c>
      <c r="J102" s="51" t="s">
        <v>374</v>
      </c>
      <c r="K102" s="72" t="s">
        <v>374</v>
      </c>
      <c r="L102" s="72" t="s">
        <v>374</v>
      </c>
      <c r="M102" s="72" t="s">
        <v>374</v>
      </c>
      <c r="N102" s="72" t="s">
        <v>374</v>
      </c>
      <c r="O102" s="44" t="s">
        <v>374</v>
      </c>
      <c r="P102" s="3">
        <v>1</v>
      </c>
    </row>
    <row r="103" spans="1:16" ht="29" x14ac:dyDescent="0.35">
      <c r="A103" s="12" t="s">
        <v>22</v>
      </c>
      <c r="B103" s="2" t="s">
        <v>35</v>
      </c>
      <c r="C103" s="7" t="s">
        <v>10</v>
      </c>
      <c r="D103" s="5" t="s">
        <v>5</v>
      </c>
      <c r="E103" s="7" t="s">
        <v>357</v>
      </c>
      <c r="F103" s="21" t="s">
        <v>182</v>
      </c>
      <c r="G103" s="28" t="s">
        <v>407</v>
      </c>
      <c r="H103" s="3" t="s">
        <v>420</v>
      </c>
      <c r="I103" s="31" t="str">
        <f t="shared" si="1"/>
        <v>S4</v>
      </c>
      <c r="J103" s="52" t="s">
        <v>368</v>
      </c>
      <c r="K103" s="77" t="s">
        <v>368</v>
      </c>
      <c r="L103" s="77" t="s">
        <v>368</v>
      </c>
      <c r="M103" s="77" t="s">
        <v>368</v>
      </c>
      <c r="N103" s="77" t="s">
        <v>368</v>
      </c>
      <c r="O103" s="32" t="s">
        <v>368</v>
      </c>
    </row>
    <row r="104" spans="1:16" ht="58" x14ac:dyDescent="0.35">
      <c r="A104" s="12" t="s">
        <v>22</v>
      </c>
      <c r="B104" s="2" t="s">
        <v>41</v>
      </c>
      <c r="C104" s="7" t="s">
        <v>161</v>
      </c>
      <c r="D104" s="5" t="s">
        <v>5</v>
      </c>
      <c r="E104" s="7" t="s">
        <v>305</v>
      </c>
      <c r="F104" s="21" t="s">
        <v>180</v>
      </c>
      <c r="G104" s="28" t="s">
        <v>405</v>
      </c>
      <c r="H104" s="3" t="s">
        <v>419</v>
      </c>
      <c r="I104" s="38" t="str">
        <f t="shared" si="1"/>
        <v>S4</v>
      </c>
      <c r="J104" s="52" t="s">
        <v>368</v>
      </c>
      <c r="K104" s="77" t="s">
        <v>368</v>
      </c>
      <c r="L104" s="77" t="s">
        <v>368</v>
      </c>
      <c r="M104" s="77" t="s">
        <v>368</v>
      </c>
      <c r="N104" s="77" t="s">
        <v>368</v>
      </c>
      <c r="O104" s="32" t="s">
        <v>368</v>
      </c>
    </row>
    <row r="105" spans="1:16" ht="58" x14ac:dyDescent="0.35">
      <c r="A105" s="12" t="s">
        <v>22</v>
      </c>
      <c r="B105" s="2" t="s">
        <v>41</v>
      </c>
      <c r="C105" s="7" t="s">
        <v>17</v>
      </c>
      <c r="D105" s="5" t="s">
        <v>5</v>
      </c>
      <c r="E105" s="7" t="s">
        <v>306</v>
      </c>
      <c r="F105" s="21" t="s">
        <v>180</v>
      </c>
      <c r="G105" s="28" t="s">
        <v>405</v>
      </c>
      <c r="H105" s="3" t="s">
        <v>419</v>
      </c>
      <c r="I105" s="38" t="str">
        <f t="shared" si="1"/>
        <v>S4</v>
      </c>
      <c r="J105" s="52" t="s">
        <v>368</v>
      </c>
      <c r="K105" s="77" t="s">
        <v>368</v>
      </c>
      <c r="L105" s="77" t="s">
        <v>368</v>
      </c>
      <c r="M105" s="77" t="s">
        <v>368</v>
      </c>
      <c r="N105" s="77" t="s">
        <v>368</v>
      </c>
      <c r="O105" s="32" t="s">
        <v>368</v>
      </c>
    </row>
    <row r="106" spans="1:16" ht="58" x14ac:dyDescent="0.35">
      <c r="A106" s="12" t="s">
        <v>22</v>
      </c>
      <c r="B106" s="2" t="s">
        <v>41</v>
      </c>
      <c r="C106" s="7" t="s">
        <v>18</v>
      </c>
      <c r="D106" s="5" t="s">
        <v>5</v>
      </c>
      <c r="E106" s="7" t="s">
        <v>307</v>
      </c>
      <c r="F106" s="21" t="s">
        <v>180</v>
      </c>
      <c r="G106" s="28" t="s">
        <v>405</v>
      </c>
      <c r="H106" s="3" t="s">
        <v>421</v>
      </c>
      <c r="I106" s="9" t="str">
        <f t="shared" si="1"/>
        <v>S3</v>
      </c>
      <c r="J106" s="51" t="s">
        <v>438</v>
      </c>
      <c r="K106" s="72" t="s">
        <v>438</v>
      </c>
      <c r="L106" s="72" t="s">
        <v>438</v>
      </c>
      <c r="M106" s="72" t="s">
        <v>438</v>
      </c>
      <c r="N106" s="72" t="s">
        <v>438</v>
      </c>
      <c r="O106" s="44" t="s">
        <v>438</v>
      </c>
      <c r="P106" s="23">
        <v>1</v>
      </c>
    </row>
    <row r="107" spans="1:16" ht="72.5" x14ac:dyDescent="0.35">
      <c r="A107" s="12" t="s">
        <v>22</v>
      </c>
      <c r="B107" s="2" t="s">
        <v>41</v>
      </c>
      <c r="C107" s="7" t="s">
        <v>42</v>
      </c>
      <c r="D107" s="5" t="s">
        <v>5</v>
      </c>
      <c r="E107" s="7" t="s">
        <v>308</v>
      </c>
      <c r="F107" s="21" t="s">
        <v>181</v>
      </c>
      <c r="G107" s="28" t="s">
        <v>405</v>
      </c>
      <c r="H107" s="3" t="s">
        <v>415</v>
      </c>
      <c r="I107" s="8" t="str">
        <f t="shared" si="1"/>
        <v>S3</v>
      </c>
      <c r="J107" s="51" t="s">
        <v>377</v>
      </c>
      <c r="K107" s="72" t="s">
        <v>377</v>
      </c>
      <c r="L107" s="72" t="s">
        <v>377</v>
      </c>
      <c r="M107" s="72" t="s">
        <v>377</v>
      </c>
      <c r="N107" s="72" t="s">
        <v>377</v>
      </c>
      <c r="O107" s="44" t="s">
        <v>377</v>
      </c>
      <c r="P107" s="23">
        <v>1</v>
      </c>
    </row>
    <row r="108" spans="1:16" ht="15" thickBot="1" x14ac:dyDescent="0.4">
      <c r="A108" s="16" t="s">
        <v>22</v>
      </c>
      <c r="B108" s="17" t="s">
        <v>41</v>
      </c>
      <c r="C108" s="15" t="s">
        <v>10</v>
      </c>
      <c r="D108" s="13" t="s">
        <v>5</v>
      </c>
      <c r="E108" s="13" t="s">
        <v>309</v>
      </c>
      <c r="F108" s="22" t="s">
        <v>182</v>
      </c>
      <c r="G108" s="30" t="s">
        <v>407</v>
      </c>
      <c r="H108" s="18" t="s">
        <v>420</v>
      </c>
      <c r="I108" s="39" t="str">
        <f t="shared" si="1"/>
        <v>S4</v>
      </c>
      <c r="J108" s="52" t="s">
        <v>368</v>
      </c>
      <c r="K108" s="77" t="s">
        <v>368</v>
      </c>
      <c r="L108" s="77" t="s">
        <v>368</v>
      </c>
      <c r="M108" s="77" t="s">
        <v>368</v>
      </c>
      <c r="N108" s="77" t="s">
        <v>368</v>
      </c>
      <c r="O108" s="32" t="s">
        <v>368</v>
      </c>
    </row>
    <row r="109" spans="1:16" ht="43.5" x14ac:dyDescent="0.35">
      <c r="A109" s="12" t="s">
        <v>43</v>
      </c>
      <c r="B109" s="73" t="s">
        <v>114</v>
      </c>
      <c r="C109" s="74" t="s">
        <v>68</v>
      </c>
      <c r="D109" s="5" t="s">
        <v>5</v>
      </c>
      <c r="E109" s="7" t="s">
        <v>310</v>
      </c>
      <c r="F109" s="20" t="s">
        <v>467</v>
      </c>
      <c r="G109" s="28" t="s">
        <v>402</v>
      </c>
      <c r="H109" s="3" t="s">
        <v>415</v>
      </c>
      <c r="I109" s="8" t="str">
        <f t="shared" si="1"/>
        <v>S2</v>
      </c>
      <c r="J109" s="58" t="s">
        <v>468</v>
      </c>
      <c r="K109" s="59" t="s">
        <v>468</v>
      </c>
      <c r="L109" s="59" t="s">
        <v>468</v>
      </c>
      <c r="M109" s="59" t="s">
        <v>468</v>
      </c>
      <c r="N109" s="59" t="s">
        <v>468</v>
      </c>
      <c r="O109" s="60" t="s">
        <v>468</v>
      </c>
      <c r="P109" s="23">
        <v>1</v>
      </c>
    </row>
    <row r="110" spans="1:16" ht="29" x14ac:dyDescent="0.35">
      <c r="A110" s="12" t="s">
        <v>43</v>
      </c>
      <c r="B110" s="2" t="s">
        <v>114</v>
      </c>
      <c r="C110" s="7" t="s">
        <v>47</v>
      </c>
      <c r="D110" s="7" t="s">
        <v>73</v>
      </c>
      <c r="E110" s="7" t="s">
        <v>311</v>
      </c>
      <c r="F110" s="21" t="s">
        <v>184</v>
      </c>
      <c r="G110" s="28" t="s">
        <v>400</v>
      </c>
      <c r="H110" s="3" t="s">
        <v>415</v>
      </c>
      <c r="I110" s="8" t="str">
        <f t="shared" si="1"/>
        <v>S1</v>
      </c>
      <c r="J110" s="51" t="s">
        <v>378</v>
      </c>
      <c r="K110" s="72" t="s">
        <v>378</v>
      </c>
      <c r="L110" s="72" t="s">
        <v>378</v>
      </c>
      <c r="M110" s="72" t="s">
        <v>378</v>
      </c>
      <c r="N110" s="72" t="s">
        <v>378</v>
      </c>
      <c r="O110" s="44" t="s">
        <v>378</v>
      </c>
      <c r="P110" s="23">
        <v>1</v>
      </c>
    </row>
    <row r="111" spans="1:16" ht="43.5" x14ac:dyDescent="0.35">
      <c r="A111" s="12" t="s">
        <v>43</v>
      </c>
      <c r="B111" s="2" t="s">
        <v>114</v>
      </c>
      <c r="C111" s="7" t="s">
        <v>47</v>
      </c>
      <c r="D111" s="7" t="s">
        <v>74</v>
      </c>
      <c r="E111" s="7" t="s">
        <v>312</v>
      </c>
      <c r="F111" s="21" t="s">
        <v>183</v>
      </c>
      <c r="G111" s="28" t="s">
        <v>405</v>
      </c>
      <c r="H111" s="3" t="s">
        <v>415</v>
      </c>
      <c r="I111" s="8" t="str">
        <f t="shared" si="1"/>
        <v>S3</v>
      </c>
      <c r="J111" s="51" t="s">
        <v>435</v>
      </c>
      <c r="K111" s="72" t="s">
        <v>435</v>
      </c>
      <c r="L111" s="72" t="s">
        <v>435</v>
      </c>
      <c r="M111" s="72" t="s">
        <v>435</v>
      </c>
      <c r="N111" s="72" t="s">
        <v>435</v>
      </c>
      <c r="O111" s="44" t="s">
        <v>435</v>
      </c>
      <c r="P111" s="23">
        <v>1</v>
      </c>
    </row>
    <row r="112" spans="1:16" ht="29" x14ac:dyDescent="0.35">
      <c r="A112" s="12" t="s">
        <v>43</v>
      </c>
      <c r="B112" s="2" t="s">
        <v>114</v>
      </c>
      <c r="C112" s="7" t="s">
        <v>47</v>
      </c>
      <c r="D112" s="7" t="s">
        <v>82</v>
      </c>
      <c r="E112" s="7" t="s">
        <v>313</v>
      </c>
      <c r="F112" s="21" t="s">
        <v>185</v>
      </c>
      <c r="G112" s="29" t="s">
        <v>400</v>
      </c>
      <c r="H112" s="3" t="s">
        <v>413</v>
      </c>
      <c r="I112" s="8" t="str">
        <f t="shared" si="1"/>
        <v>S1</v>
      </c>
      <c r="J112" s="51" t="s">
        <v>380</v>
      </c>
      <c r="K112" s="72" t="s">
        <v>380</v>
      </c>
      <c r="L112" s="72" t="s">
        <v>380</v>
      </c>
      <c r="M112" s="72" t="s">
        <v>380</v>
      </c>
      <c r="N112" s="72" t="s">
        <v>380</v>
      </c>
      <c r="O112" s="44" t="s">
        <v>380</v>
      </c>
      <c r="P112" s="23">
        <v>1</v>
      </c>
    </row>
    <row r="113" spans="1:16" ht="29" x14ac:dyDescent="0.35">
      <c r="A113" s="12" t="s">
        <v>43</v>
      </c>
      <c r="B113" s="2" t="s">
        <v>114</v>
      </c>
      <c r="C113" s="7" t="s">
        <v>47</v>
      </c>
      <c r="D113" s="74" t="s">
        <v>78</v>
      </c>
      <c r="E113" s="7" t="s">
        <v>314</v>
      </c>
      <c r="F113" s="21" t="s">
        <v>186</v>
      </c>
      <c r="G113" s="28" t="s">
        <v>405</v>
      </c>
      <c r="H113" s="3" t="s">
        <v>419</v>
      </c>
      <c r="I113" s="37" t="str">
        <f t="shared" si="1"/>
        <v>S4</v>
      </c>
      <c r="J113" s="52" t="s">
        <v>368</v>
      </c>
      <c r="K113" s="77" t="s">
        <v>368</v>
      </c>
      <c r="L113" s="77" t="s">
        <v>368</v>
      </c>
      <c r="M113" s="77" t="s">
        <v>368</v>
      </c>
      <c r="N113" s="77" t="s">
        <v>368</v>
      </c>
      <c r="O113" s="32" t="s">
        <v>368</v>
      </c>
    </row>
    <row r="114" spans="1:16" ht="43.5" x14ac:dyDescent="0.35">
      <c r="A114" s="12" t="s">
        <v>43</v>
      </c>
      <c r="B114" s="2" t="s">
        <v>114</v>
      </c>
      <c r="C114" s="7" t="s">
        <v>47</v>
      </c>
      <c r="D114" s="7" t="s">
        <v>75</v>
      </c>
      <c r="E114" s="7" t="s">
        <v>315</v>
      </c>
      <c r="F114" s="21" t="s">
        <v>187</v>
      </c>
      <c r="G114" s="28" t="s">
        <v>405</v>
      </c>
      <c r="H114" s="3" t="s">
        <v>415</v>
      </c>
      <c r="I114" s="8" t="str">
        <f t="shared" si="1"/>
        <v>S3</v>
      </c>
      <c r="J114" s="51" t="s">
        <v>379</v>
      </c>
      <c r="K114" s="72" t="s">
        <v>379</v>
      </c>
      <c r="L114" s="72" t="s">
        <v>379</v>
      </c>
      <c r="M114" s="72" t="s">
        <v>379</v>
      </c>
      <c r="N114" s="72" t="s">
        <v>379</v>
      </c>
      <c r="O114" s="44" t="s">
        <v>379</v>
      </c>
      <c r="P114" s="23">
        <v>1</v>
      </c>
    </row>
    <row r="115" spans="1:16" ht="29" x14ac:dyDescent="0.35">
      <c r="A115" s="12" t="s">
        <v>43</v>
      </c>
      <c r="B115" s="2" t="s">
        <v>114</v>
      </c>
      <c r="C115" s="7" t="s">
        <v>47</v>
      </c>
      <c r="D115" s="7" t="s">
        <v>76</v>
      </c>
      <c r="E115" s="7" t="s">
        <v>316</v>
      </c>
      <c r="F115" s="21" t="s">
        <v>210</v>
      </c>
      <c r="G115" s="28" t="s">
        <v>405</v>
      </c>
      <c r="H115" s="3" t="s">
        <v>420</v>
      </c>
      <c r="I115" s="38" t="str">
        <f t="shared" si="1"/>
        <v>S4</v>
      </c>
      <c r="J115" s="52" t="s">
        <v>368</v>
      </c>
      <c r="K115" s="77" t="s">
        <v>368</v>
      </c>
      <c r="L115" s="77" t="s">
        <v>368</v>
      </c>
      <c r="M115" s="77" t="s">
        <v>368</v>
      </c>
      <c r="N115" s="77" t="s">
        <v>368</v>
      </c>
      <c r="O115" s="32" t="s">
        <v>368</v>
      </c>
    </row>
    <row r="116" spans="1:16" ht="29" x14ac:dyDescent="0.35">
      <c r="A116" s="12" t="s">
        <v>43</v>
      </c>
      <c r="B116" s="2" t="s">
        <v>114</v>
      </c>
      <c r="C116" s="7" t="s">
        <v>47</v>
      </c>
      <c r="D116" s="7" t="s">
        <v>77</v>
      </c>
      <c r="E116" s="7" t="s">
        <v>317</v>
      </c>
      <c r="F116" s="21" t="s">
        <v>210</v>
      </c>
      <c r="G116" s="28" t="s">
        <v>405</v>
      </c>
      <c r="H116" s="3" t="s">
        <v>420</v>
      </c>
      <c r="I116" s="38" t="str">
        <f t="shared" si="1"/>
        <v>S4</v>
      </c>
      <c r="J116" s="52" t="s">
        <v>368</v>
      </c>
      <c r="K116" s="77" t="s">
        <v>368</v>
      </c>
      <c r="L116" s="77" t="s">
        <v>368</v>
      </c>
      <c r="M116" s="77" t="s">
        <v>368</v>
      </c>
      <c r="N116" s="77" t="s">
        <v>368</v>
      </c>
      <c r="O116" s="32" t="s">
        <v>368</v>
      </c>
    </row>
    <row r="117" spans="1:16" ht="29" x14ac:dyDescent="0.35">
      <c r="A117" s="12" t="s">
        <v>43</v>
      </c>
      <c r="B117" s="2" t="s">
        <v>114</v>
      </c>
      <c r="C117" s="7" t="s">
        <v>47</v>
      </c>
      <c r="D117" s="7" t="s">
        <v>79</v>
      </c>
      <c r="E117" s="7" t="s">
        <v>318</v>
      </c>
      <c r="F117" s="21" t="s">
        <v>188</v>
      </c>
      <c r="G117" s="28" t="s">
        <v>405</v>
      </c>
      <c r="H117" s="3" t="s">
        <v>419</v>
      </c>
      <c r="I117" s="31" t="str">
        <f t="shared" si="1"/>
        <v>S4</v>
      </c>
      <c r="J117" s="52" t="s">
        <v>368</v>
      </c>
      <c r="K117" s="77" t="s">
        <v>368</v>
      </c>
      <c r="L117" s="77" t="s">
        <v>368</v>
      </c>
      <c r="M117" s="77" t="s">
        <v>368</v>
      </c>
      <c r="N117" s="77" t="s">
        <v>368</v>
      </c>
      <c r="O117" s="32" t="s">
        <v>368</v>
      </c>
    </row>
    <row r="118" spans="1:16" ht="43.5" x14ac:dyDescent="0.35">
      <c r="A118" s="12" t="s">
        <v>43</v>
      </c>
      <c r="B118" s="2" t="s">
        <v>114</v>
      </c>
      <c r="C118" s="7" t="s">
        <v>47</v>
      </c>
      <c r="D118" s="7" t="s">
        <v>12</v>
      </c>
      <c r="E118" s="7" t="s">
        <v>319</v>
      </c>
      <c r="F118" s="21" t="s">
        <v>189</v>
      </c>
      <c r="G118" s="29" t="s">
        <v>402</v>
      </c>
      <c r="H118" s="3" t="s">
        <v>415</v>
      </c>
      <c r="I118" s="8" t="str">
        <f t="shared" si="1"/>
        <v>S2</v>
      </c>
      <c r="J118" s="54" t="s">
        <v>471</v>
      </c>
      <c r="K118" s="76" t="s">
        <v>471</v>
      </c>
      <c r="L118" s="76" t="s">
        <v>471</v>
      </c>
      <c r="M118" s="76" t="s">
        <v>471</v>
      </c>
      <c r="N118" s="76" t="s">
        <v>471</v>
      </c>
      <c r="O118" s="48" t="s">
        <v>471</v>
      </c>
      <c r="P118" s="23">
        <v>1</v>
      </c>
    </row>
    <row r="119" spans="1:16" ht="29" x14ac:dyDescent="0.35">
      <c r="A119" s="12" t="s">
        <v>43</v>
      </c>
      <c r="B119" s="2" t="s">
        <v>114</v>
      </c>
      <c r="C119" s="7" t="s">
        <v>47</v>
      </c>
      <c r="D119" s="7" t="s">
        <v>80</v>
      </c>
      <c r="E119" s="7" t="s">
        <v>320</v>
      </c>
      <c r="F119" s="21" t="s">
        <v>190</v>
      </c>
      <c r="G119" s="28" t="s">
        <v>405</v>
      </c>
      <c r="H119" s="3" t="s">
        <v>420</v>
      </c>
      <c r="I119" s="31" t="str">
        <f t="shared" si="1"/>
        <v>S4</v>
      </c>
      <c r="J119" s="52" t="s">
        <v>368</v>
      </c>
      <c r="K119" s="77" t="s">
        <v>368</v>
      </c>
      <c r="L119" s="77" t="s">
        <v>368</v>
      </c>
      <c r="M119" s="77" t="s">
        <v>368</v>
      </c>
      <c r="N119" s="77" t="s">
        <v>368</v>
      </c>
      <c r="O119" s="32" t="s">
        <v>368</v>
      </c>
    </row>
    <row r="120" spans="1:16" ht="29" x14ac:dyDescent="0.35">
      <c r="A120" s="12" t="s">
        <v>43</v>
      </c>
      <c r="B120" s="2" t="s">
        <v>114</v>
      </c>
      <c r="C120" s="7" t="s">
        <v>47</v>
      </c>
      <c r="D120" s="7" t="s">
        <v>81</v>
      </c>
      <c r="E120" s="7" t="s">
        <v>321</v>
      </c>
      <c r="F120" s="21" t="s">
        <v>192</v>
      </c>
      <c r="G120" s="28" t="s">
        <v>405</v>
      </c>
      <c r="H120" s="3" t="s">
        <v>419</v>
      </c>
      <c r="I120" s="38" t="str">
        <f t="shared" si="1"/>
        <v>S4</v>
      </c>
      <c r="J120" s="52" t="s">
        <v>368</v>
      </c>
      <c r="K120" s="77" t="s">
        <v>368</v>
      </c>
      <c r="L120" s="77" t="s">
        <v>368</v>
      </c>
      <c r="M120" s="77" t="s">
        <v>368</v>
      </c>
      <c r="N120" s="77" t="s">
        <v>368</v>
      </c>
      <c r="O120" s="32" t="s">
        <v>368</v>
      </c>
    </row>
    <row r="121" spans="1:16" ht="29" x14ac:dyDescent="0.35">
      <c r="A121" s="12" t="s">
        <v>43</v>
      </c>
      <c r="B121" s="2" t="s">
        <v>114</v>
      </c>
      <c r="C121" s="7" t="s">
        <v>47</v>
      </c>
      <c r="D121" s="7" t="s">
        <v>83</v>
      </c>
      <c r="E121" s="7" t="s">
        <v>322</v>
      </c>
      <c r="F121" s="21" t="s">
        <v>170</v>
      </c>
      <c r="G121" s="28" t="s">
        <v>405</v>
      </c>
      <c r="H121" s="3" t="s">
        <v>419</v>
      </c>
      <c r="I121" s="38" t="str">
        <f t="shared" si="1"/>
        <v>S4</v>
      </c>
      <c r="J121" s="52" t="s">
        <v>368</v>
      </c>
      <c r="K121" s="77" t="s">
        <v>368</v>
      </c>
      <c r="L121" s="77" t="s">
        <v>368</v>
      </c>
      <c r="M121" s="77" t="s">
        <v>368</v>
      </c>
      <c r="N121" s="77" t="s">
        <v>368</v>
      </c>
      <c r="O121" s="32" t="s">
        <v>368</v>
      </c>
    </row>
    <row r="122" spans="1:16" x14ac:dyDescent="0.35">
      <c r="A122" s="12" t="s">
        <v>43</v>
      </c>
      <c r="B122" s="2" t="s">
        <v>114</v>
      </c>
      <c r="C122" s="7" t="s">
        <v>47</v>
      </c>
      <c r="D122" s="7" t="s">
        <v>93</v>
      </c>
      <c r="E122" s="7" t="s">
        <v>323</v>
      </c>
      <c r="F122" s="21" t="s">
        <v>191</v>
      </c>
      <c r="G122" s="29" t="s">
        <v>399</v>
      </c>
      <c r="H122" s="3" t="s">
        <v>413</v>
      </c>
      <c r="I122" s="8" t="str">
        <f t="shared" si="1"/>
        <v>S1</v>
      </c>
      <c r="J122" s="51" t="s">
        <v>463</v>
      </c>
      <c r="K122" s="72" t="s">
        <v>463</v>
      </c>
      <c r="L122" s="72" t="s">
        <v>463</v>
      </c>
      <c r="M122" s="72" t="s">
        <v>463</v>
      </c>
      <c r="N122" s="72" t="s">
        <v>463</v>
      </c>
      <c r="O122" s="44" t="s">
        <v>463</v>
      </c>
      <c r="P122" s="23">
        <v>1</v>
      </c>
    </row>
    <row r="123" spans="1:16" ht="43.5" x14ac:dyDescent="0.35">
      <c r="A123" s="12" t="s">
        <v>43</v>
      </c>
      <c r="B123" s="2" t="s">
        <v>114</v>
      </c>
      <c r="C123" s="7" t="s">
        <v>47</v>
      </c>
      <c r="D123" s="7" t="s">
        <v>84</v>
      </c>
      <c r="E123" s="7" t="s">
        <v>324</v>
      </c>
      <c r="F123" s="21" t="s">
        <v>431</v>
      </c>
      <c r="G123" s="29" t="s">
        <v>405</v>
      </c>
      <c r="H123" s="3" t="s">
        <v>419</v>
      </c>
      <c r="I123" s="38" t="str">
        <f t="shared" si="1"/>
        <v>S4</v>
      </c>
      <c r="J123" s="52" t="s">
        <v>368</v>
      </c>
      <c r="K123" s="77" t="s">
        <v>368</v>
      </c>
      <c r="L123" s="77" t="s">
        <v>368</v>
      </c>
      <c r="M123" s="77" t="s">
        <v>368</v>
      </c>
      <c r="N123" s="77" t="s">
        <v>368</v>
      </c>
      <c r="O123" s="32" t="s">
        <v>368</v>
      </c>
    </row>
    <row r="124" spans="1:16" x14ac:dyDescent="0.35">
      <c r="A124" s="12" t="s">
        <v>43</v>
      </c>
      <c r="B124" s="2" t="s">
        <v>114</v>
      </c>
      <c r="C124" s="74" t="s">
        <v>47</v>
      </c>
      <c r="D124" s="74" t="s">
        <v>10</v>
      </c>
      <c r="E124" s="74" t="s">
        <v>325</v>
      </c>
      <c r="F124" s="47" t="s">
        <v>182</v>
      </c>
      <c r="G124" s="45" t="s">
        <v>407</v>
      </c>
      <c r="H124" s="67" t="s">
        <v>420</v>
      </c>
      <c r="I124" s="63" t="str">
        <f t="shared" si="1"/>
        <v>S4</v>
      </c>
      <c r="J124" s="64" t="s">
        <v>368</v>
      </c>
      <c r="K124" s="79" t="s">
        <v>368</v>
      </c>
      <c r="L124" s="79" t="s">
        <v>368</v>
      </c>
      <c r="M124" s="79" t="s">
        <v>368</v>
      </c>
      <c r="N124" s="79" t="s">
        <v>368</v>
      </c>
      <c r="O124" s="65" t="s">
        <v>368</v>
      </c>
    </row>
    <row r="125" spans="1:16" ht="58" x14ac:dyDescent="0.35">
      <c r="A125" s="12" t="s">
        <v>43</v>
      </c>
      <c r="B125" s="2" t="s">
        <v>94</v>
      </c>
      <c r="C125" s="74" t="s">
        <v>95</v>
      </c>
      <c r="D125" s="75" t="s">
        <v>21</v>
      </c>
      <c r="E125" s="74" t="s">
        <v>358</v>
      </c>
      <c r="F125" s="56" t="s">
        <v>196</v>
      </c>
      <c r="G125" s="45" t="s">
        <v>405</v>
      </c>
      <c r="H125" s="67" t="s">
        <v>419</v>
      </c>
      <c r="I125" s="37" t="str">
        <f t="shared" si="1"/>
        <v>S4</v>
      </c>
      <c r="J125" s="64" t="s">
        <v>368</v>
      </c>
      <c r="K125" s="79" t="s">
        <v>368</v>
      </c>
      <c r="L125" s="79" t="s">
        <v>368</v>
      </c>
      <c r="M125" s="79" t="s">
        <v>368</v>
      </c>
      <c r="N125" s="79" t="s">
        <v>368</v>
      </c>
      <c r="O125" s="65" t="s">
        <v>368</v>
      </c>
    </row>
    <row r="126" spans="1:16" ht="58" x14ac:dyDescent="0.35">
      <c r="A126" s="12" t="s">
        <v>43</v>
      </c>
      <c r="B126" s="2" t="s">
        <v>94</v>
      </c>
      <c r="C126" s="7" t="s">
        <v>95</v>
      </c>
      <c r="D126" s="5" t="s">
        <v>115</v>
      </c>
      <c r="E126" s="7" t="s">
        <v>359</v>
      </c>
      <c r="F126" s="21" t="s">
        <v>197</v>
      </c>
      <c r="G126" s="29" t="s">
        <v>407</v>
      </c>
      <c r="H126" s="68" t="s">
        <v>420</v>
      </c>
      <c r="I126" s="38" t="str">
        <f t="shared" si="1"/>
        <v>S4</v>
      </c>
      <c r="J126" s="52" t="s">
        <v>368</v>
      </c>
      <c r="K126" s="77" t="s">
        <v>368</v>
      </c>
      <c r="L126" s="77" t="s">
        <v>368</v>
      </c>
      <c r="M126" s="77" t="s">
        <v>368</v>
      </c>
      <c r="N126" s="77" t="s">
        <v>368</v>
      </c>
      <c r="O126" s="32" t="s">
        <v>368</v>
      </c>
    </row>
    <row r="127" spans="1:16" ht="58" x14ac:dyDescent="0.35">
      <c r="A127" s="12" t="s">
        <v>43</v>
      </c>
      <c r="B127" s="2" t="s">
        <v>94</v>
      </c>
      <c r="C127" s="7" t="s">
        <v>95</v>
      </c>
      <c r="D127" s="5" t="s">
        <v>117</v>
      </c>
      <c r="E127" s="7" t="s">
        <v>360</v>
      </c>
      <c r="F127" s="21" t="s">
        <v>179</v>
      </c>
      <c r="G127" s="28" t="s">
        <v>405</v>
      </c>
      <c r="H127" s="3" t="s">
        <v>419</v>
      </c>
      <c r="I127" s="38" t="str">
        <f t="shared" si="1"/>
        <v>S4</v>
      </c>
      <c r="J127" s="52" t="s">
        <v>368</v>
      </c>
      <c r="K127" s="77" t="s">
        <v>368</v>
      </c>
      <c r="L127" s="77" t="s">
        <v>368</v>
      </c>
      <c r="M127" s="77" t="s">
        <v>368</v>
      </c>
      <c r="N127" s="77" t="s">
        <v>368</v>
      </c>
      <c r="O127" s="32" t="s">
        <v>368</v>
      </c>
    </row>
    <row r="128" spans="1:16" ht="43.5" x14ac:dyDescent="0.35">
      <c r="A128" s="12" t="s">
        <v>43</v>
      </c>
      <c r="B128" s="2" t="s">
        <v>94</v>
      </c>
      <c r="C128" s="7" t="s">
        <v>95</v>
      </c>
      <c r="D128" s="5" t="s">
        <v>10</v>
      </c>
      <c r="E128" s="7" t="s">
        <v>361</v>
      </c>
      <c r="F128" s="21" t="s">
        <v>182</v>
      </c>
      <c r="G128" s="28" t="s">
        <v>407</v>
      </c>
      <c r="H128" s="3" t="s">
        <v>420</v>
      </c>
      <c r="I128" s="31" t="str">
        <f t="shared" si="1"/>
        <v>S4</v>
      </c>
      <c r="J128" s="52" t="s">
        <v>368</v>
      </c>
      <c r="K128" s="77" t="s">
        <v>368</v>
      </c>
      <c r="L128" s="77" t="s">
        <v>368</v>
      </c>
      <c r="M128" s="77" t="s">
        <v>368</v>
      </c>
      <c r="N128" s="77" t="s">
        <v>368</v>
      </c>
      <c r="O128" s="32" t="s">
        <v>368</v>
      </c>
    </row>
    <row r="129" spans="1:16" ht="43.5" x14ac:dyDescent="0.35">
      <c r="A129" s="46" t="s">
        <v>43</v>
      </c>
      <c r="B129" s="73" t="s">
        <v>94</v>
      </c>
      <c r="C129" s="74" t="s">
        <v>118</v>
      </c>
      <c r="D129" s="75" t="s">
        <v>116</v>
      </c>
      <c r="E129" s="74" t="s">
        <v>326</v>
      </c>
      <c r="F129" s="47" t="s">
        <v>198</v>
      </c>
      <c r="G129" s="45" t="s">
        <v>405</v>
      </c>
      <c r="H129" s="67" t="s">
        <v>415</v>
      </c>
      <c r="I129" s="10" t="str">
        <f t="shared" si="1"/>
        <v>S3</v>
      </c>
      <c r="J129" s="54" t="s">
        <v>472</v>
      </c>
      <c r="K129" s="76" t="s">
        <v>472</v>
      </c>
      <c r="L129" s="76" t="s">
        <v>472</v>
      </c>
      <c r="M129" s="76" t="s">
        <v>472</v>
      </c>
      <c r="N129" s="76" t="s">
        <v>472</v>
      </c>
      <c r="O129" s="48" t="s">
        <v>472</v>
      </c>
      <c r="P129" s="23">
        <v>1</v>
      </c>
    </row>
    <row r="130" spans="1:16" ht="64.150000000000006" customHeight="1" x14ac:dyDescent="0.35">
      <c r="A130" s="12" t="s">
        <v>43</v>
      </c>
      <c r="B130" s="2" t="s">
        <v>94</v>
      </c>
      <c r="C130" s="7" t="s">
        <v>118</v>
      </c>
      <c r="D130" s="75" t="s">
        <v>119</v>
      </c>
      <c r="E130" s="7" t="s">
        <v>327</v>
      </c>
      <c r="F130" s="21" t="s">
        <v>193</v>
      </c>
      <c r="G130" s="28" t="s">
        <v>405</v>
      </c>
      <c r="H130" s="3" t="s">
        <v>415</v>
      </c>
      <c r="I130" s="8" t="str">
        <f t="shared" si="1"/>
        <v>S3</v>
      </c>
      <c r="J130" s="54" t="s">
        <v>473</v>
      </c>
      <c r="K130" s="76" t="s">
        <v>473</v>
      </c>
      <c r="L130" s="76" t="s">
        <v>473</v>
      </c>
      <c r="M130" s="76" t="s">
        <v>473</v>
      </c>
      <c r="N130" s="76" t="s">
        <v>473</v>
      </c>
      <c r="O130" s="48" t="s">
        <v>473</v>
      </c>
      <c r="P130" s="23">
        <v>1</v>
      </c>
    </row>
    <row r="131" spans="1:16" x14ac:dyDescent="0.35">
      <c r="A131" s="12" t="s">
        <v>43</v>
      </c>
      <c r="B131" s="2" t="s">
        <v>94</v>
      </c>
      <c r="C131" s="7" t="s">
        <v>118</v>
      </c>
      <c r="D131" s="5" t="s">
        <v>10</v>
      </c>
      <c r="E131" s="7" t="s">
        <v>328</v>
      </c>
      <c r="F131" s="21" t="s">
        <v>182</v>
      </c>
      <c r="G131" s="28" t="s">
        <v>407</v>
      </c>
      <c r="H131" s="3" t="s">
        <v>420</v>
      </c>
      <c r="I131" s="31" t="str">
        <f t="shared" si="1"/>
        <v>S4</v>
      </c>
      <c r="J131" s="52" t="s">
        <v>368</v>
      </c>
      <c r="K131" s="77" t="s">
        <v>368</v>
      </c>
      <c r="L131" s="77" t="s">
        <v>368</v>
      </c>
      <c r="M131" s="77" t="s">
        <v>368</v>
      </c>
      <c r="N131" s="77" t="s">
        <v>368</v>
      </c>
      <c r="O131" s="32" t="s">
        <v>368</v>
      </c>
    </row>
    <row r="132" spans="1:16" ht="43.5" x14ac:dyDescent="0.35">
      <c r="A132" s="12" t="s">
        <v>43</v>
      </c>
      <c r="B132" s="2" t="s">
        <v>49</v>
      </c>
      <c r="C132" s="5" t="s">
        <v>5</v>
      </c>
      <c r="D132" s="7" t="s">
        <v>96</v>
      </c>
      <c r="E132" s="7" t="s">
        <v>329</v>
      </c>
      <c r="F132" s="21" t="s">
        <v>201</v>
      </c>
      <c r="G132" s="28" t="s">
        <v>400</v>
      </c>
      <c r="H132" s="68" t="s">
        <v>415</v>
      </c>
      <c r="I132" s="42" t="str">
        <f t="shared" ref="I132:I155" si="2">_xlfn.LET(
_xlpm.A,6-VALUE(RIGHT(TRIM(CLEAN(G132)),1)),
_xlpm.E,6-VALUE(RIGHT(TRIM(CLEAN(H132)),1)),
IF(AND(_xlpm.A&gt;=4,_xlpm.E&gt;=4),"S1",
IF(OR(AND(_xlpm.A=3,_xlpm.E&gt;=3),AND(_xlpm.A&gt;=4,_xlpm.E=3)),"S2",
IF(AND(_xlpm.A=2,_xlpm.E&gt;=3),"S3",
"S4"))))</f>
        <v>S1</v>
      </c>
      <c r="J132" s="51" t="s">
        <v>437</v>
      </c>
      <c r="K132" s="72" t="s">
        <v>437</v>
      </c>
      <c r="L132" s="72" t="s">
        <v>437</v>
      </c>
      <c r="M132" s="72" t="s">
        <v>437</v>
      </c>
      <c r="N132" s="72" t="s">
        <v>437</v>
      </c>
      <c r="O132" s="44" t="s">
        <v>437</v>
      </c>
      <c r="P132" s="23">
        <v>1</v>
      </c>
    </row>
    <row r="133" spans="1:16" ht="45" customHeight="1" x14ac:dyDescent="0.35">
      <c r="A133" s="46" t="s">
        <v>43</v>
      </c>
      <c r="B133" s="73" t="s">
        <v>49</v>
      </c>
      <c r="C133" s="75" t="s">
        <v>5</v>
      </c>
      <c r="D133" s="74" t="s">
        <v>97</v>
      </c>
      <c r="E133" s="74" t="s">
        <v>330</v>
      </c>
      <c r="F133" s="47" t="s">
        <v>202</v>
      </c>
      <c r="G133" s="45" t="s">
        <v>407</v>
      </c>
      <c r="H133" s="67" t="s">
        <v>420</v>
      </c>
      <c r="I133" s="31" t="str">
        <f t="shared" si="2"/>
        <v>S4</v>
      </c>
      <c r="J133" s="52" t="s">
        <v>368</v>
      </c>
      <c r="K133" s="77" t="s">
        <v>368</v>
      </c>
      <c r="L133" s="77" t="s">
        <v>368</v>
      </c>
      <c r="M133" s="77" t="s">
        <v>368</v>
      </c>
      <c r="N133" s="77" t="s">
        <v>368</v>
      </c>
      <c r="O133" s="32" t="s">
        <v>368</v>
      </c>
    </row>
    <row r="134" spans="1:16" ht="30" customHeight="1" x14ac:dyDescent="0.35">
      <c r="A134" s="46" t="s">
        <v>43</v>
      </c>
      <c r="B134" s="73" t="s">
        <v>49</v>
      </c>
      <c r="C134" s="75" t="s">
        <v>5</v>
      </c>
      <c r="D134" s="74" t="s">
        <v>98</v>
      </c>
      <c r="E134" s="74" t="s">
        <v>331</v>
      </c>
      <c r="F134" s="47" t="s">
        <v>203</v>
      </c>
      <c r="G134" s="45" t="s">
        <v>407</v>
      </c>
      <c r="H134" s="67" t="s">
        <v>420</v>
      </c>
      <c r="I134" s="31" t="str">
        <f t="shared" si="2"/>
        <v>S4</v>
      </c>
      <c r="J134" s="52" t="s">
        <v>368</v>
      </c>
      <c r="K134" s="77" t="s">
        <v>368</v>
      </c>
      <c r="L134" s="77" t="s">
        <v>368</v>
      </c>
      <c r="M134" s="77" t="s">
        <v>368</v>
      </c>
      <c r="N134" s="77" t="s">
        <v>368</v>
      </c>
      <c r="O134" s="32" t="s">
        <v>368</v>
      </c>
    </row>
    <row r="135" spans="1:16" ht="43.5" x14ac:dyDescent="0.35">
      <c r="A135" s="46" t="s">
        <v>43</v>
      </c>
      <c r="B135" s="73" t="s">
        <v>49</v>
      </c>
      <c r="C135" s="75" t="s">
        <v>5</v>
      </c>
      <c r="D135" s="74" t="s">
        <v>99</v>
      </c>
      <c r="E135" s="74" t="s">
        <v>332</v>
      </c>
      <c r="F135" s="47" t="s">
        <v>211</v>
      </c>
      <c r="G135" s="45" t="s">
        <v>407</v>
      </c>
      <c r="H135" s="67" t="s">
        <v>420</v>
      </c>
      <c r="I135" s="31" t="str">
        <f t="shared" si="2"/>
        <v>S4</v>
      </c>
      <c r="J135" s="52" t="s">
        <v>368</v>
      </c>
      <c r="K135" s="77" t="s">
        <v>368</v>
      </c>
      <c r="L135" s="77" t="s">
        <v>368</v>
      </c>
      <c r="M135" s="77" t="s">
        <v>368</v>
      </c>
      <c r="N135" s="77" t="s">
        <v>368</v>
      </c>
      <c r="O135" s="32" t="s">
        <v>368</v>
      </c>
    </row>
    <row r="136" spans="1:16" ht="29" x14ac:dyDescent="0.35">
      <c r="A136" s="46" t="s">
        <v>43</v>
      </c>
      <c r="B136" s="73" t="s">
        <v>49</v>
      </c>
      <c r="C136" s="75" t="s">
        <v>5</v>
      </c>
      <c r="D136" s="74" t="s">
        <v>100</v>
      </c>
      <c r="E136" s="74" t="s">
        <v>333</v>
      </c>
      <c r="F136" s="47" t="s">
        <v>204</v>
      </c>
      <c r="G136" s="45" t="s">
        <v>400</v>
      </c>
      <c r="H136" s="67" t="s">
        <v>415</v>
      </c>
      <c r="I136" s="10" t="str">
        <f t="shared" si="2"/>
        <v>S1</v>
      </c>
      <c r="J136" s="54" t="s">
        <v>465</v>
      </c>
      <c r="K136" s="76" t="s">
        <v>465</v>
      </c>
      <c r="L136" s="76" t="s">
        <v>465</v>
      </c>
      <c r="M136" s="76" t="s">
        <v>465</v>
      </c>
      <c r="N136" s="76" t="s">
        <v>465</v>
      </c>
      <c r="O136" s="48" t="s">
        <v>465</v>
      </c>
      <c r="P136" s="23">
        <v>1</v>
      </c>
    </row>
    <row r="137" spans="1:16" ht="29" x14ac:dyDescent="0.35">
      <c r="A137" s="46" t="s">
        <v>43</v>
      </c>
      <c r="B137" s="73" t="s">
        <v>49</v>
      </c>
      <c r="C137" s="75" t="s">
        <v>5</v>
      </c>
      <c r="D137" s="74" t="s">
        <v>101</v>
      </c>
      <c r="E137" s="74" t="s">
        <v>334</v>
      </c>
      <c r="F137" s="47" t="s">
        <v>204</v>
      </c>
      <c r="G137" s="45" t="s">
        <v>400</v>
      </c>
      <c r="H137" s="67" t="s">
        <v>415</v>
      </c>
      <c r="I137" s="10" t="str">
        <f t="shared" si="2"/>
        <v>S1</v>
      </c>
      <c r="J137" s="54" t="s">
        <v>474</v>
      </c>
      <c r="K137" s="76" t="s">
        <v>474</v>
      </c>
      <c r="L137" s="76" t="s">
        <v>474</v>
      </c>
      <c r="M137" s="76" t="s">
        <v>474</v>
      </c>
      <c r="N137" s="76" t="s">
        <v>474</v>
      </c>
      <c r="O137" s="48" t="s">
        <v>474</v>
      </c>
      <c r="P137" s="23">
        <v>1</v>
      </c>
    </row>
    <row r="138" spans="1:16" x14ac:dyDescent="0.35">
      <c r="A138" s="12" t="s">
        <v>43</v>
      </c>
      <c r="B138" s="2" t="s">
        <v>49</v>
      </c>
      <c r="C138" s="5" t="s">
        <v>5</v>
      </c>
      <c r="D138" s="7" t="s">
        <v>102</v>
      </c>
      <c r="E138" s="7" t="s">
        <v>335</v>
      </c>
      <c r="F138" s="21" t="s">
        <v>205</v>
      </c>
      <c r="G138" s="45" t="s">
        <v>407</v>
      </c>
      <c r="H138" s="67" t="s">
        <v>420</v>
      </c>
      <c r="I138" s="31" t="str">
        <f t="shared" si="2"/>
        <v>S4</v>
      </c>
      <c r="J138" s="52" t="s">
        <v>368</v>
      </c>
      <c r="K138" s="77" t="s">
        <v>368</v>
      </c>
      <c r="L138" s="77" t="s">
        <v>368</v>
      </c>
      <c r="M138" s="77" t="s">
        <v>368</v>
      </c>
      <c r="N138" s="77" t="s">
        <v>368</v>
      </c>
      <c r="O138" s="32" t="s">
        <v>368</v>
      </c>
    </row>
    <row r="139" spans="1:16" x14ac:dyDescent="0.35">
      <c r="A139" s="12" t="s">
        <v>43</v>
      </c>
      <c r="B139" s="2" t="s">
        <v>49</v>
      </c>
      <c r="C139" s="5" t="s">
        <v>5</v>
      </c>
      <c r="D139" s="7" t="s">
        <v>103</v>
      </c>
      <c r="E139" s="7" t="s">
        <v>336</v>
      </c>
      <c r="F139" s="21" t="s">
        <v>205</v>
      </c>
      <c r="G139" s="45" t="s">
        <v>407</v>
      </c>
      <c r="H139" s="67" t="s">
        <v>420</v>
      </c>
      <c r="I139" s="31" t="str">
        <f t="shared" si="2"/>
        <v>S4</v>
      </c>
      <c r="J139" s="52" t="s">
        <v>368</v>
      </c>
      <c r="K139" s="77" t="s">
        <v>368</v>
      </c>
      <c r="L139" s="77" t="s">
        <v>368</v>
      </c>
      <c r="M139" s="77" t="s">
        <v>368</v>
      </c>
      <c r="N139" s="77" t="s">
        <v>368</v>
      </c>
      <c r="O139" s="32" t="s">
        <v>368</v>
      </c>
    </row>
    <row r="140" spans="1:16" x14ac:dyDescent="0.35">
      <c r="A140" s="12" t="s">
        <v>43</v>
      </c>
      <c r="B140" s="2" t="s">
        <v>49</v>
      </c>
      <c r="C140" s="5" t="s">
        <v>5</v>
      </c>
      <c r="D140" s="7" t="s">
        <v>104</v>
      </c>
      <c r="E140" s="7" t="s">
        <v>337</v>
      </c>
      <c r="F140" s="21" t="s">
        <v>206</v>
      </c>
      <c r="G140" s="45" t="s">
        <v>407</v>
      </c>
      <c r="H140" s="67" t="s">
        <v>420</v>
      </c>
      <c r="I140" s="31" t="str">
        <f t="shared" si="2"/>
        <v>S4</v>
      </c>
      <c r="J140" s="52" t="s">
        <v>368</v>
      </c>
      <c r="K140" s="77" t="s">
        <v>368</v>
      </c>
      <c r="L140" s="77" t="s">
        <v>368</v>
      </c>
      <c r="M140" s="77" t="s">
        <v>368</v>
      </c>
      <c r="N140" s="77" t="s">
        <v>368</v>
      </c>
      <c r="O140" s="32" t="s">
        <v>368</v>
      </c>
    </row>
    <row r="141" spans="1:16" ht="29" x14ac:dyDescent="0.35">
      <c r="A141" s="46" t="s">
        <v>43</v>
      </c>
      <c r="B141" s="73" t="s">
        <v>49</v>
      </c>
      <c r="C141" s="75" t="s">
        <v>5</v>
      </c>
      <c r="D141" s="74" t="s">
        <v>105</v>
      </c>
      <c r="E141" s="74" t="s">
        <v>338</v>
      </c>
      <c r="F141" s="47" t="s">
        <v>207</v>
      </c>
      <c r="G141" s="45" t="s">
        <v>407</v>
      </c>
      <c r="H141" s="67" t="s">
        <v>420</v>
      </c>
      <c r="I141" s="31" t="str">
        <f t="shared" si="2"/>
        <v>S4</v>
      </c>
      <c r="J141" s="52" t="s">
        <v>368</v>
      </c>
      <c r="K141" s="77" t="s">
        <v>368</v>
      </c>
      <c r="L141" s="77" t="s">
        <v>368</v>
      </c>
      <c r="M141" s="77" t="s">
        <v>368</v>
      </c>
      <c r="N141" s="77" t="s">
        <v>368</v>
      </c>
      <c r="O141" s="32" t="s">
        <v>368</v>
      </c>
    </row>
    <row r="142" spans="1:16" ht="29" x14ac:dyDescent="0.35">
      <c r="A142" s="46" t="s">
        <v>43</v>
      </c>
      <c r="B142" s="73" t="s">
        <v>49</v>
      </c>
      <c r="C142" s="75" t="s">
        <v>5</v>
      </c>
      <c r="D142" s="74" t="s">
        <v>106</v>
      </c>
      <c r="E142" s="74" t="s">
        <v>339</v>
      </c>
      <c r="F142" s="47" t="s">
        <v>208</v>
      </c>
      <c r="G142" s="45" t="s">
        <v>407</v>
      </c>
      <c r="H142" s="67" t="s">
        <v>420</v>
      </c>
      <c r="I142" s="31" t="str">
        <f t="shared" si="2"/>
        <v>S4</v>
      </c>
      <c r="J142" s="52" t="s">
        <v>368</v>
      </c>
      <c r="K142" s="77" t="s">
        <v>368</v>
      </c>
      <c r="L142" s="77" t="s">
        <v>368</v>
      </c>
      <c r="M142" s="77" t="s">
        <v>368</v>
      </c>
      <c r="N142" s="77" t="s">
        <v>368</v>
      </c>
      <c r="O142" s="32" t="s">
        <v>368</v>
      </c>
    </row>
    <row r="143" spans="1:16" ht="29" x14ac:dyDescent="0.35">
      <c r="A143" s="46" t="s">
        <v>43</v>
      </c>
      <c r="B143" s="73" t="s">
        <v>49</v>
      </c>
      <c r="C143" s="78" t="s">
        <v>5</v>
      </c>
      <c r="D143" s="74" t="s">
        <v>107</v>
      </c>
      <c r="E143" s="74" t="s">
        <v>340</v>
      </c>
      <c r="F143" s="47" t="s">
        <v>209</v>
      </c>
      <c r="G143" s="45" t="s">
        <v>407</v>
      </c>
      <c r="H143" s="67" t="s">
        <v>420</v>
      </c>
      <c r="I143" s="31" t="str">
        <f t="shared" si="2"/>
        <v>S4</v>
      </c>
      <c r="J143" s="52" t="s">
        <v>368</v>
      </c>
      <c r="K143" s="77" t="s">
        <v>368</v>
      </c>
      <c r="L143" s="77" t="s">
        <v>368</v>
      </c>
      <c r="M143" s="77" t="s">
        <v>368</v>
      </c>
      <c r="N143" s="77" t="s">
        <v>368</v>
      </c>
      <c r="O143" s="32" t="s">
        <v>368</v>
      </c>
    </row>
    <row r="144" spans="1:16" x14ac:dyDescent="0.35">
      <c r="A144" s="12" t="s">
        <v>43</v>
      </c>
      <c r="B144" s="2" t="s">
        <v>49</v>
      </c>
      <c r="C144" s="5" t="s">
        <v>5</v>
      </c>
      <c r="D144" s="7" t="s">
        <v>10</v>
      </c>
      <c r="E144" s="7" t="s">
        <v>381</v>
      </c>
      <c r="F144" s="21" t="s">
        <v>182</v>
      </c>
      <c r="G144" s="45" t="s">
        <v>407</v>
      </c>
      <c r="H144" s="67" t="s">
        <v>420</v>
      </c>
      <c r="I144" s="31" t="str">
        <f t="shared" si="2"/>
        <v>S4</v>
      </c>
      <c r="J144" s="52" t="s">
        <v>368</v>
      </c>
      <c r="K144" s="77" t="s">
        <v>368</v>
      </c>
      <c r="L144" s="77" t="s">
        <v>368</v>
      </c>
      <c r="M144" s="77" t="s">
        <v>368</v>
      </c>
      <c r="N144" s="77" t="s">
        <v>368</v>
      </c>
      <c r="O144" s="32" t="s">
        <v>368</v>
      </c>
    </row>
    <row r="145" spans="1:16" ht="29" x14ac:dyDescent="0.35">
      <c r="A145" s="12" t="s">
        <v>43</v>
      </c>
      <c r="B145" s="2" t="s">
        <v>108</v>
      </c>
      <c r="C145" s="5" t="s">
        <v>5</v>
      </c>
      <c r="D145" s="74" t="s">
        <v>109</v>
      </c>
      <c r="E145" s="74" t="s">
        <v>341</v>
      </c>
      <c r="F145" s="47" t="s">
        <v>199</v>
      </c>
      <c r="G145" s="45" t="s">
        <v>400</v>
      </c>
      <c r="H145" s="67" t="s">
        <v>413</v>
      </c>
      <c r="I145" s="10" t="str">
        <f t="shared" si="2"/>
        <v>S1</v>
      </c>
      <c r="J145" s="51" t="s">
        <v>494</v>
      </c>
      <c r="K145" s="72" t="s">
        <v>494</v>
      </c>
      <c r="L145" s="72" t="s">
        <v>494</v>
      </c>
      <c r="M145" s="72" t="s">
        <v>494</v>
      </c>
      <c r="N145" s="72" t="s">
        <v>494</v>
      </c>
      <c r="O145" s="44" t="s">
        <v>494</v>
      </c>
      <c r="P145" s="23">
        <v>1</v>
      </c>
    </row>
    <row r="146" spans="1:16" ht="29" x14ac:dyDescent="0.35">
      <c r="A146" s="12" t="s">
        <v>43</v>
      </c>
      <c r="B146" s="2" t="s">
        <v>108</v>
      </c>
      <c r="C146" s="5" t="s">
        <v>5</v>
      </c>
      <c r="D146" s="7" t="s">
        <v>110</v>
      </c>
      <c r="E146" s="7" t="s">
        <v>342</v>
      </c>
      <c r="F146" s="21" t="s">
        <v>199</v>
      </c>
      <c r="G146" s="45" t="s">
        <v>407</v>
      </c>
      <c r="H146" s="67" t="s">
        <v>420</v>
      </c>
      <c r="I146" s="31" t="str">
        <f t="shared" si="2"/>
        <v>S4</v>
      </c>
      <c r="J146" s="52" t="s">
        <v>368</v>
      </c>
      <c r="K146" s="77" t="s">
        <v>368</v>
      </c>
      <c r="L146" s="77" t="s">
        <v>368</v>
      </c>
      <c r="M146" s="77" t="s">
        <v>368</v>
      </c>
      <c r="N146" s="77" t="s">
        <v>368</v>
      </c>
      <c r="O146" s="32" t="s">
        <v>368</v>
      </c>
    </row>
    <row r="147" spans="1:16" ht="43.5" x14ac:dyDescent="0.35">
      <c r="A147" s="12" t="s">
        <v>43</v>
      </c>
      <c r="B147" s="2" t="s">
        <v>108</v>
      </c>
      <c r="C147" s="5" t="s">
        <v>5</v>
      </c>
      <c r="D147" s="74" t="s">
        <v>111</v>
      </c>
      <c r="E147" s="7" t="s">
        <v>343</v>
      </c>
      <c r="F147" s="21" t="s">
        <v>189</v>
      </c>
      <c r="G147" s="29" t="s">
        <v>402</v>
      </c>
      <c r="H147" s="3" t="s">
        <v>415</v>
      </c>
      <c r="I147" s="8" t="str">
        <f t="shared" si="2"/>
        <v>S2</v>
      </c>
      <c r="J147" s="54" t="s">
        <v>486</v>
      </c>
      <c r="K147" s="76" t="s">
        <v>486</v>
      </c>
      <c r="L147" s="76" t="s">
        <v>486</v>
      </c>
      <c r="M147" s="76" t="s">
        <v>486</v>
      </c>
      <c r="N147" s="76" t="s">
        <v>486</v>
      </c>
      <c r="O147" s="48" t="s">
        <v>486</v>
      </c>
      <c r="P147" s="23">
        <v>1</v>
      </c>
    </row>
    <row r="148" spans="1:16" x14ac:dyDescent="0.35">
      <c r="A148" s="12" t="s">
        <v>43</v>
      </c>
      <c r="B148" s="2" t="s">
        <v>108</v>
      </c>
      <c r="C148" s="5" t="s">
        <v>5</v>
      </c>
      <c r="D148" s="7" t="s">
        <v>112</v>
      </c>
      <c r="E148" s="7" t="s">
        <v>344</v>
      </c>
      <c r="F148" s="21" t="s">
        <v>173</v>
      </c>
      <c r="G148" s="28" t="s">
        <v>405</v>
      </c>
      <c r="H148" s="3" t="s">
        <v>419</v>
      </c>
      <c r="I148" s="38" t="str">
        <f t="shared" si="2"/>
        <v>S4</v>
      </c>
      <c r="J148" s="52" t="s">
        <v>368</v>
      </c>
      <c r="K148" s="77" t="s">
        <v>368</v>
      </c>
      <c r="L148" s="77" t="s">
        <v>368</v>
      </c>
      <c r="M148" s="77" t="s">
        <v>368</v>
      </c>
      <c r="N148" s="77" t="s">
        <v>368</v>
      </c>
      <c r="O148" s="32" t="s">
        <v>368</v>
      </c>
    </row>
    <row r="149" spans="1:16" ht="29" x14ac:dyDescent="0.35">
      <c r="A149" s="12" t="s">
        <v>43</v>
      </c>
      <c r="B149" s="2" t="s">
        <v>108</v>
      </c>
      <c r="C149" s="5" t="s">
        <v>5</v>
      </c>
      <c r="D149" s="7" t="s">
        <v>113</v>
      </c>
      <c r="E149" s="7" t="s">
        <v>345</v>
      </c>
      <c r="F149" s="21" t="s">
        <v>199</v>
      </c>
      <c r="G149" s="28" t="s">
        <v>407</v>
      </c>
      <c r="H149" s="3" t="s">
        <v>419</v>
      </c>
      <c r="I149" s="38" t="str">
        <f t="shared" si="2"/>
        <v>S4</v>
      </c>
      <c r="J149" s="52" t="s">
        <v>368</v>
      </c>
      <c r="K149" s="77" t="s">
        <v>368</v>
      </c>
      <c r="L149" s="77" t="s">
        <v>368</v>
      </c>
      <c r="M149" s="77" t="s">
        <v>368</v>
      </c>
      <c r="N149" s="77" t="s">
        <v>368</v>
      </c>
      <c r="O149" s="32" t="s">
        <v>368</v>
      </c>
    </row>
    <row r="150" spans="1:16" x14ac:dyDescent="0.35">
      <c r="A150" s="12" t="s">
        <v>43</v>
      </c>
      <c r="B150" s="2" t="s">
        <v>48</v>
      </c>
      <c r="C150" s="5" t="s">
        <v>5</v>
      </c>
      <c r="D150" s="74" t="s">
        <v>47</v>
      </c>
      <c r="E150" s="7" t="s">
        <v>347</v>
      </c>
      <c r="F150" s="21" t="s">
        <v>182</v>
      </c>
      <c r="G150" s="45" t="s">
        <v>407</v>
      </c>
      <c r="H150" s="67" t="s">
        <v>420</v>
      </c>
      <c r="I150" s="31" t="str">
        <f t="shared" si="2"/>
        <v>S4</v>
      </c>
      <c r="J150" s="52" t="s">
        <v>368</v>
      </c>
      <c r="K150" s="77" t="s">
        <v>368</v>
      </c>
      <c r="L150" s="77" t="s">
        <v>368</v>
      </c>
      <c r="M150" s="77" t="s">
        <v>368</v>
      </c>
      <c r="N150" s="77" t="s">
        <v>368</v>
      </c>
      <c r="O150" s="32" t="s">
        <v>368</v>
      </c>
    </row>
    <row r="151" spans="1:16" ht="43.5" x14ac:dyDescent="0.35">
      <c r="A151" s="46" t="s">
        <v>43</v>
      </c>
      <c r="B151" s="73" t="s">
        <v>48</v>
      </c>
      <c r="C151" s="75" t="s">
        <v>5</v>
      </c>
      <c r="D151" s="74" t="s">
        <v>10</v>
      </c>
      <c r="E151" s="74" t="s">
        <v>346</v>
      </c>
      <c r="F151" s="47" t="s">
        <v>200</v>
      </c>
      <c r="G151" s="45" t="s">
        <v>407</v>
      </c>
      <c r="H151" s="67" t="s">
        <v>420</v>
      </c>
      <c r="I151" s="31" t="str">
        <f t="shared" si="2"/>
        <v>S4</v>
      </c>
      <c r="J151" s="52" t="s">
        <v>368</v>
      </c>
      <c r="K151" s="77" t="s">
        <v>368</v>
      </c>
      <c r="L151" s="77" t="s">
        <v>368</v>
      </c>
      <c r="M151" s="77" t="s">
        <v>368</v>
      </c>
      <c r="N151" s="77" t="s">
        <v>368</v>
      </c>
      <c r="O151" s="32" t="s">
        <v>368</v>
      </c>
    </row>
    <row r="152" spans="1:16" ht="29" x14ac:dyDescent="0.35">
      <c r="A152" s="12" t="s">
        <v>43</v>
      </c>
      <c r="B152" s="2" t="s">
        <v>129</v>
      </c>
      <c r="C152" s="7" t="s">
        <v>128</v>
      </c>
      <c r="D152" s="7" t="s">
        <v>44</v>
      </c>
      <c r="E152" s="7" t="s">
        <v>348</v>
      </c>
      <c r="F152" s="21" t="s">
        <v>195</v>
      </c>
      <c r="G152" s="28" t="s">
        <v>405</v>
      </c>
      <c r="H152" s="3" t="s">
        <v>419</v>
      </c>
      <c r="I152" s="38" t="str">
        <f t="shared" ref="I152" si="3">_xlfn.LET(
_xlpm.A,6-VALUE(RIGHT(TRIM(CLEAN(G152)),1)),
_xlpm.E,6-VALUE(RIGHT(TRIM(CLEAN(H152)),1)),
IF(AND(_xlpm.A&gt;=4,_xlpm.E&gt;=4),"S1",
IF(OR(AND(_xlpm.A=3,_xlpm.E&gt;=3),AND(_xlpm.A&gt;=4,_xlpm.E=3)),"S2",
IF(AND(_xlpm.A=2,_xlpm.E&gt;=3),"S3",
"S4"))))</f>
        <v>S4</v>
      </c>
      <c r="J152" s="52" t="s">
        <v>368</v>
      </c>
      <c r="K152" s="77" t="s">
        <v>368</v>
      </c>
      <c r="L152" s="77" t="s">
        <v>368</v>
      </c>
      <c r="M152" s="77" t="s">
        <v>368</v>
      </c>
      <c r="N152" s="77" t="s">
        <v>368</v>
      </c>
      <c r="O152" s="32" t="s">
        <v>368</v>
      </c>
    </row>
    <row r="153" spans="1:16" ht="29" x14ac:dyDescent="0.35">
      <c r="A153" s="46" t="s">
        <v>43</v>
      </c>
      <c r="B153" s="73" t="s">
        <v>129</v>
      </c>
      <c r="C153" s="74" t="s">
        <v>128</v>
      </c>
      <c r="D153" s="74" t="s">
        <v>45</v>
      </c>
      <c r="E153" s="74" t="s">
        <v>349</v>
      </c>
      <c r="F153" s="47" t="s">
        <v>195</v>
      </c>
      <c r="G153" s="28" t="s">
        <v>405</v>
      </c>
      <c r="H153" s="3" t="s">
        <v>419</v>
      </c>
      <c r="I153" s="38" t="str">
        <f t="shared" si="2"/>
        <v>S4</v>
      </c>
      <c r="J153" s="52" t="s">
        <v>368</v>
      </c>
      <c r="K153" s="77" t="s">
        <v>368</v>
      </c>
      <c r="L153" s="77" t="s">
        <v>368</v>
      </c>
      <c r="M153" s="77" t="s">
        <v>368</v>
      </c>
      <c r="N153" s="77" t="s">
        <v>368</v>
      </c>
      <c r="O153" s="32" t="s">
        <v>368</v>
      </c>
    </row>
    <row r="154" spans="1:16" ht="29" x14ac:dyDescent="0.35">
      <c r="A154" s="46" t="s">
        <v>43</v>
      </c>
      <c r="B154" s="73" t="s">
        <v>129</v>
      </c>
      <c r="C154" s="74" t="s">
        <v>128</v>
      </c>
      <c r="D154" s="74" t="s">
        <v>46</v>
      </c>
      <c r="E154" s="74" t="s">
        <v>350</v>
      </c>
      <c r="F154" s="47" t="s">
        <v>195</v>
      </c>
      <c r="G154" s="28" t="s">
        <v>405</v>
      </c>
      <c r="H154" s="3" t="s">
        <v>419</v>
      </c>
      <c r="I154" s="38" t="str">
        <f t="shared" si="2"/>
        <v>S4</v>
      </c>
      <c r="J154" s="52" t="s">
        <v>368</v>
      </c>
      <c r="K154" s="77" t="s">
        <v>368</v>
      </c>
      <c r="L154" s="77" t="s">
        <v>368</v>
      </c>
      <c r="M154" s="77" t="s">
        <v>368</v>
      </c>
      <c r="N154" s="77" t="s">
        <v>368</v>
      </c>
      <c r="O154" s="32" t="s">
        <v>368</v>
      </c>
    </row>
    <row r="155" spans="1:16" ht="15" thickBot="1" x14ac:dyDescent="0.4">
      <c r="A155" s="16" t="s">
        <v>43</v>
      </c>
      <c r="B155" s="17" t="s">
        <v>129</v>
      </c>
      <c r="C155" s="15" t="s">
        <v>128</v>
      </c>
      <c r="D155" s="15" t="s">
        <v>10</v>
      </c>
      <c r="E155" s="15" t="s">
        <v>351</v>
      </c>
      <c r="F155" s="22" t="s">
        <v>182</v>
      </c>
      <c r="G155" s="30" t="s">
        <v>405</v>
      </c>
      <c r="H155" s="18" t="s">
        <v>419</v>
      </c>
      <c r="I155" s="80" t="str">
        <f t="shared" si="2"/>
        <v>S4</v>
      </c>
      <c r="J155" s="55" t="s">
        <v>368</v>
      </c>
      <c r="K155" s="40" t="s">
        <v>368</v>
      </c>
      <c r="L155" s="40" t="s">
        <v>368</v>
      </c>
      <c r="M155" s="40" t="s">
        <v>368</v>
      </c>
      <c r="N155" s="40" t="s">
        <v>368</v>
      </c>
      <c r="O155" s="41" t="s">
        <v>368</v>
      </c>
    </row>
    <row r="156" spans="1:16" x14ac:dyDescent="0.35">
      <c r="P156" s="23">
        <f>SUM(P3:P155)</f>
        <v>52</v>
      </c>
    </row>
  </sheetData>
  <mergeCells count="3">
    <mergeCell ref="J1:O1"/>
    <mergeCell ref="A1:E1"/>
    <mergeCell ref="G1:H1"/>
  </mergeCells>
  <dataValidations count="1">
    <dataValidation type="list" allowBlank="1" showInputMessage="1" showErrorMessage="1" sqref="G4 G7:G16 G20:G48 G50:G155 H3:H155" xr:uid="{A2A0C285-1730-4A5A-87AD-11DE30BC1835}">
      <formula1>#REF!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088516-6579-4950-8587-642AF4ADEBBC}">
          <x14:formula1>
            <xm:f>RULES!$A$2:$A$6</xm:f>
          </x14:formula1>
          <xm:sqref>G3 G5:G6 G17:G19 G49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94D1-64E6-4961-B768-6E65B2DE92F4}">
  <sheetPr>
    <pageSetUpPr fitToPage="1"/>
  </sheetPr>
  <dimension ref="A1:J37"/>
  <sheetViews>
    <sheetView tabSelected="1" zoomScale="70" zoomScaleNormal="70" workbookViewId="0">
      <selection activeCell="G20" sqref="G20"/>
    </sheetView>
  </sheetViews>
  <sheetFormatPr baseColWidth="10" defaultRowHeight="14.5" x14ac:dyDescent="0.35"/>
  <cols>
    <col min="1" max="1" width="12.81640625" customWidth="1"/>
    <col min="2" max="2" width="28.36328125" bestFit="1" customWidth="1"/>
    <col min="3" max="3" width="147.6328125" bestFit="1" customWidth="1"/>
    <col min="4" max="4" width="10.90625" style="23"/>
    <col min="5" max="5" width="20.81640625" style="23" customWidth="1"/>
  </cols>
  <sheetData>
    <row r="1" spans="1:4" x14ac:dyDescent="0.35">
      <c r="A1" s="23" t="s">
        <v>408</v>
      </c>
      <c r="B1" s="23" t="s">
        <v>409</v>
      </c>
      <c r="C1" s="23" t="s">
        <v>410</v>
      </c>
      <c r="D1" s="23" t="s">
        <v>422</v>
      </c>
    </row>
    <row r="2" spans="1:4" x14ac:dyDescent="0.35">
      <c r="A2" t="s">
        <v>475</v>
      </c>
      <c r="B2" t="s">
        <v>398</v>
      </c>
      <c r="C2" t="s">
        <v>439</v>
      </c>
      <c r="D2" s="3">
        <v>5</v>
      </c>
    </row>
    <row r="3" spans="1:4" x14ac:dyDescent="0.35">
      <c r="A3" t="s">
        <v>400</v>
      </c>
      <c r="B3" t="s">
        <v>401</v>
      </c>
      <c r="C3" t="s">
        <v>440</v>
      </c>
      <c r="D3" s="3">
        <v>4</v>
      </c>
    </row>
    <row r="4" spans="1:4" x14ac:dyDescent="0.35">
      <c r="A4" t="s">
        <v>402</v>
      </c>
      <c r="B4" t="s">
        <v>403</v>
      </c>
      <c r="C4" t="s">
        <v>441</v>
      </c>
      <c r="D4" s="3">
        <v>3</v>
      </c>
    </row>
    <row r="5" spans="1:4" x14ac:dyDescent="0.35">
      <c r="A5" t="s">
        <v>405</v>
      </c>
      <c r="B5" t="s">
        <v>404</v>
      </c>
      <c r="C5" t="s">
        <v>442</v>
      </c>
      <c r="D5" s="3">
        <v>2</v>
      </c>
    </row>
    <row r="6" spans="1:4" x14ac:dyDescent="0.35">
      <c r="A6" t="s">
        <v>407</v>
      </c>
      <c r="B6" t="s">
        <v>406</v>
      </c>
      <c r="C6" t="s">
        <v>443</v>
      </c>
      <c r="D6" s="3">
        <v>1</v>
      </c>
    </row>
    <row r="8" spans="1:4" x14ac:dyDescent="0.35">
      <c r="A8" t="s">
        <v>408</v>
      </c>
      <c r="B8" t="s">
        <v>411</v>
      </c>
      <c r="C8" t="s">
        <v>410</v>
      </c>
      <c r="D8" s="23" t="s">
        <v>422</v>
      </c>
    </row>
    <row r="9" spans="1:4" ht="58" x14ac:dyDescent="0.35">
      <c r="A9" s="11" t="s">
        <v>413</v>
      </c>
      <c r="B9" s="11" t="s">
        <v>412</v>
      </c>
      <c r="C9" s="5" t="s">
        <v>444</v>
      </c>
      <c r="D9" s="3">
        <v>5</v>
      </c>
    </row>
    <row r="10" spans="1:4" ht="58" x14ac:dyDescent="0.35">
      <c r="A10" s="11" t="s">
        <v>415</v>
      </c>
      <c r="B10" s="11" t="s">
        <v>414</v>
      </c>
      <c r="C10" s="5" t="s">
        <v>446</v>
      </c>
      <c r="D10" s="3">
        <v>4</v>
      </c>
    </row>
    <row r="11" spans="1:4" ht="58" x14ac:dyDescent="0.35">
      <c r="A11" s="11" t="s">
        <v>421</v>
      </c>
      <c r="B11" s="11" t="s">
        <v>416</v>
      </c>
      <c r="C11" s="5" t="s">
        <v>445</v>
      </c>
      <c r="D11" s="3">
        <v>3</v>
      </c>
    </row>
    <row r="12" spans="1:4" ht="58" x14ac:dyDescent="0.35">
      <c r="A12" s="11" t="s">
        <v>419</v>
      </c>
      <c r="B12" s="11" t="s">
        <v>418</v>
      </c>
      <c r="C12" s="5" t="s">
        <v>447</v>
      </c>
      <c r="D12" s="3">
        <v>2</v>
      </c>
    </row>
    <row r="13" spans="1:4" x14ac:dyDescent="0.35">
      <c r="A13" s="11" t="s">
        <v>420</v>
      </c>
      <c r="B13" s="11" t="s">
        <v>417</v>
      </c>
      <c r="C13" s="11" t="s">
        <v>448</v>
      </c>
      <c r="D13" s="3">
        <v>1</v>
      </c>
    </row>
    <row r="14" spans="1:4" x14ac:dyDescent="0.35">
      <c r="A14" s="24"/>
      <c r="C14" s="24"/>
    </row>
    <row r="15" spans="1:4" x14ac:dyDescent="0.35">
      <c r="A15" s="24"/>
    </row>
    <row r="18" spans="1:10" x14ac:dyDescent="0.35">
      <c r="A18" s="24" t="s">
        <v>408</v>
      </c>
      <c r="B18" t="s">
        <v>427</v>
      </c>
      <c r="C18" t="s">
        <v>410</v>
      </c>
    </row>
    <row r="19" spans="1:10" ht="58" x14ac:dyDescent="0.35">
      <c r="A19" s="11" t="s">
        <v>423</v>
      </c>
      <c r="B19" s="11" t="s">
        <v>432</v>
      </c>
      <c r="C19" s="5" t="s">
        <v>501</v>
      </c>
    </row>
    <row r="20" spans="1:10" ht="87" x14ac:dyDescent="0.35">
      <c r="A20" s="11" t="s">
        <v>424</v>
      </c>
      <c r="B20" s="5" t="s">
        <v>449</v>
      </c>
      <c r="C20" s="5" t="s">
        <v>502</v>
      </c>
    </row>
    <row r="21" spans="1:10" ht="101.5" x14ac:dyDescent="0.35">
      <c r="A21" s="11" t="s">
        <v>426</v>
      </c>
      <c r="B21" s="5" t="s">
        <v>450</v>
      </c>
      <c r="C21" s="5" t="s">
        <v>503</v>
      </c>
    </row>
    <row r="22" spans="1:10" ht="72.5" x14ac:dyDescent="0.35">
      <c r="A22" s="11" t="s">
        <v>428</v>
      </c>
      <c r="B22" s="11" t="s">
        <v>425</v>
      </c>
      <c r="C22" s="5" t="s">
        <v>500</v>
      </c>
    </row>
    <row r="23" spans="1:10" x14ac:dyDescent="0.35">
      <c r="A23" s="24"/>
    </row>
    <row r="25" spans="1:10" x14ac:dyDescent="0.35">
      <c r="A25" s="24"/>
    </row>
    <row r="27" spans="1:10" x14ac:dyDescent="0.35">
      <c r="A27">
        <v>5</v>
      </c>
      <c r="B27" s="33" t="s">
        <v>399</v>
      </c>
      <c r="C27" s="35" t="s">
        <v>413</v>
      </c>
    </row>
    <row r="28" spans="1:10" x14ac:dyDescent="0.35">
      <c r="A28">
        <v>4</v>
      </c>
      <c r="B28" s="33" t="s">
        <v>400</v>
      </c>
      <c r="C28" s="35" t="s">
        <v>415</v>
      </c>
    </row>
    <row r="29" spans="1:10" x14ac:dyDescent="0.35">
      <c r="A29">
        <v>3</v>
      </c>
      <c r="B29" s="33" t="s">
        <v>402</v>
      </c>
      <c r="C29" s="35" t="s">
        <v>421</v>
      </c>
    </row>
    <row r="30" spans="1:10" x14ac:dyDescent="0.35">
      <c r="A30">
        <v>2</v>
      </c>
      <c r="B30" s="33" t="s">
        <v>405</v>
      </c>
      <c r="C30" s="35" t="s">
        <v>419</v>
      </c>
    </row>
    <row r="31" spans="1:10" x14ac:dyDescent="0.35">
      <c r="A31">
        <v>1</v>
      </c>
      <c r="B31" s="34" t="s">
        <v>407</v>
      </c>
      <c r="C31" s="36" t="s">
        <v>420</v>
      </c>
    </row>
    <row r="32" spans="1:10" x14ac:dyDescent="0.35">
      <c r="E32" s="82" t="s">
        <v>497</v>
      </c>
      <c r="F32" s="82" t="s">
        <v>413</v>
      </c>
      <c r="G32" s="82" t="s">
        <v>415</v>
      </c>
      <c r="H32" s="82" t="s">
        <v>421</v>
      </c>
      <c r="I32" s="82" t="s">
        <v>419</v>
      </c>
      <c r="J32" s="82" t="s">
        <v>420</v>
      </c>
    </row>
    <row r="33" spans="1:10" x14ac:dyDescent="0.35">
      <c r="A33" t="s">
        <v>423</v>
      </c>
      <c r="B33" t="s">
        <v>433</v>
      </c>
      <c r="E33" s="82" t="s">
        <v>475</v>
      </c>
      <c r="F33" s="83" t="s">
        <v>423</v>
      </c>
      <c r="G33" s="83" t="s">
        <v>423</v>
      </c>
      <c r="H33" s="84" t="s">
        <v>424</v>
      </c>
      <c r="I33" s="86" t="s">
        <v>428</v>
      </c>
      <c r="J33" s="86" t="s">
        <v>428</v>
      </c>
    </row>
    <row r="34" spans="1:10" x14ac:dyDescent="0.35">
      <c r="A34" t="s">
        <v>424</v>
      </c>
      <c r="B34" t="s">
        <v>499</v>
      </c>
      <c r="E34" s="82" t="s">
        <v>400</v>
      </c>
      <c r="F34" s="83" t="s">
        <v>423</v>
      </c>
      <c r="G34" s="83" t="s">
        <v>423</v>
      </c>
      <c r="H34" s="84" t="s">
        <v>424</v>
      </c>
      <c r="I34" s="86" t="s">
        <v>428</v>
      </c>
      <c r="J34" s="86" t="s">
        <v>428</v>
      </c>
    </row>
    <row r="35" spans="1:10" x14ac:dyDescent="0.35">
      <c r="A35" t="s">
        <v>426</v>
      </c>
      <c r="B35" t="s">
        <v>434</v>
      </c>
      <c r="E35" s="82" t="s">
        <v>402</v>
      </c>
      <c r="F35" s="84" t="s">
        <v>424</v>
      </c>
      <c r="G35" s="84" t="s">
        <v>424</v>
      </c>
      <c r="H35" s="84" t="s">
        <v>424</v>
      </c>
      <c r="I35" s="86" t="s">
        <v>428</v>
      </c>
      <c r="J35" s="86" t="s">
        <v>428</v>
      </c>
    </row>
    <row r="36" spans="1:10" x14ac:dyDescent="0.35">
      <c r="A36" t="s">
        <v>428</v>
      </c>
      <c r="B36" t="s">
        <v>498</v>
      </c>
      <c r="E36" s="82" t="s">
        <v>405</v>
      </c>
      <c r="F36" s="85" t="s">
        <v>426</v>
      </c>
      <c r="G36" s="85" t="s">
        <v>426</v>
      </c>
      <c r="H36" s="85" t="s">
        <v>426</v>
      </c>
      <c r="I36" s="86" t="s">
        <v>428</v>
      </c>
      <c r="J36" s="86" t="s">
        <v>428</v>
      </c>
    </row>
    <row r="37" spans="1:10" x14ac:dyDescent="0.35">
      <c r="E37" s="82" t="s">
        <v>407</v>
      </c>
      <c r="F37" s="86" t="s">
        <v>428</v>
      </c>
      <c r="G37" s="86" t="s">
        <v>428</v>
      </c>
      <c r="H37" s="86" t="s">
        <v>428</v>
      </c>
      <c r="I37" s="86" t="s">
        <v>428</v>
      </c>
      <c r="J37" s="86" t="s">
        <v>428</v>
      </c>
    </row>
  </sheetData>
  <pageMargins left="0.25" right="0.25" top="0.75" bottom="0.75" header="0.3" footer="0.3"/>
  <pageSetup paperSize="9" scale="43" fitToWidth="0" orientation="landscape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b47e336-ab50-4138-bed7-9fa8fb81fcf3">
      <Terms xmlns="http://schemas.microsoft.com/office/infopath/2007/PartnerControls"/>
    </lcf76f155ced4ddcb4097134ff3c332f>
    <TaxCatchAll xmlns="f84eb626-3a1b-4c47-b1c9-f09f3a6beb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6B0A7A9ED5B749A3E6ACCDB5D52807" ma:contentTypeVersion="23" ma:contentTypeDescription="Crear nuevo documento." ma:contentTypeScope="" ma:versionID="feafc1eb0a923622f5d553dc5aadeeca">
  <xsd:schema xmlns:xsd="http://www.w3.org/2001/XMLSchema" xmlns:xs="http://www.w3.org/2001/XMLSchema" xmlns:p="http://schemas.microsoft.com/office/2006/metadata/properties" xmlns:ns1="http://schemas.microsoft.com/sharepoint/v3" xmlns:ns2="eb47e336-ab50-4138-bed7-9fa8fb81fcf3" xmlns:ns3="f84eb626-3a1b-4c47-b1c9-f09f3a6beba4" targetNamespace="http://schemas.microsoft.com/office/2006/metadata/properties" ma:root="true" ma:fieldsID="8b2478c2125fced3832995b87560a9e3" ns1:_="" ns2:_="" ns3:_="">
    <xsd:import namespace="http://schemas.microsoft.com/sharepoint/v3"/>
    <xsd:import namespace="eb47e336-ab50-4138-bed7-9fa8fb81fcf3"/>
    <xsd:import namespace="f84eb626-3a1b-4c47-b1c9-f09f3a6be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7e336-ab50-4138-bed7-9fa8fb81f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189d43-8d75-486d-bc0b-4d04dee2c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eb626-3a1b-4c47-b1c9-f09f3a6beb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e0e3701-d2e5-4da8-ac36-8ef582c6ee85}" ma:internalName="TaxCatchAll" ma:showField="CatchAllData" ma:web="f84eb626-3a1b-4c47-b1c9-f09f3a6be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55F4E6-E18E-4891-878B-7EB70E4C3E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47e336-ab50-4138-bed7-9fa8fb81fcf3"/>
    <ds:schemaRef ds:uri="f84eb626-3a1b-4c47-b1c9-f09f3a6beba4"/>
  </ds:schemaRefs>
</ds:datastoreItem>
</file>

<file path=customXml/itemProps2.xml><?xml version="1.0" encoding="utf-8"?>
<ds:datastoreItem xmlns:ds="http://schemas.openxmlformats.org/officeDocument/2006/customXml" ds:itemID="{83608F17-2A07-4B40-88B0-9CE355E6F7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47e336-ab50-4138-bed7-9fa8fb81fcf3"/>
    <ds:schemaRef ds:uri="f84eb626-3a1b-4c47-b1c9-f09f3a6be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6F20E9-6F6B-4E1D-A261-99537A66B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BAMB Params selection</vt:lpstr>
      <vt:lpstr>RULES</vt:lpstr>
    </vt:vector>
  </TitlesOfParts>
  <Company>FUNITEC La Salle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Adirane Calvo Martínez</dc:creator>
  <cp:lastModifiedBy>Gonçal Costa Jutglar</cp:lastModifiedBy>
  <cp:lastPrinted>2026-03-09T08:08:47Z</cp:lastPrinted>
  <dcterms:created xsi:type="dcterms:W3CDTF">2025-12-10T07:05:10Z</dcterms:created>
  <dcterms:modified xsi:type="dcterms:W3CDTF">2026-08-20T12:01:12Z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0x0101002D6B0A7A9ED5B749A3E6ACCDB5D52807</vt:lpwstr>
  </property>
  <property fmtid="{D5CDD505-2E9C-101B-9397-08002B2CF9AE}" pid="3" name="MediaServiceImageTags">
    <vt:lpwstr/>
  </property>
</Properties>
</file>