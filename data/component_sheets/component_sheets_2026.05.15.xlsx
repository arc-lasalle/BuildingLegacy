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asalleuniversities.sharepoint.com/sites/d23-ddr-iar/Shared Documents/ARC/PROJECTS/BUILDING LEGACY/Work/PT4/"/>
    </mc:Choice>
  </mc:AlternateContent>
  <xr:revisionPtr revIDLastSave="68" documentId="8_{01B64674-D4C8-40D2-BEF7-DCA5691277CF}" xr6:coauthVersionLast="47" xr6:coauthVersionMax="47" xr10:uidLastSave="{16C29FF2-4B20-4752-A3FC-F7E064971FE3}"/>
  <bookViews>
    <workbookView xWindow="-120" yWindow="-120" windowWidth="29040" windowHeight="15720" tabRatio="735" firstSheet="1" activeTab="1" xr2:uid="{00000000-000D-0000-FFFF-FFFF00000000}"/>
  </bookViews>
  <sheets>
    <sheet name="BASE" sheetId="7" state="hidden" r:id="rId1"/>
    <sheet name="C1.Fire doors" sheetId="6" r:id="rId2"/>
    <sheet name="C2.Metal structure pillar" sheetId="5" r:id="rId3"/>
    <sheet name="C3.Glasses" sheetId="8" r:id="rId4"/>
    <sheet name="C4.Tarpaulins" sheetId="3" r:id="rId5"/>
    <sheet name="C5.Heat pumps" sheetId="2" r:id="rId6"/>
    <sheet name="C6.Steel roll-up shutters" sheetId="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3" l="1"/>
  <c r="F39" i="3"/>
  <c r="F38" i="3"/>
  <c r="F59" i="3"/>
  <c r="F55" i="1"/>
  <c r="F58" i="2"/>
  <c r="F65" i="1"/>
  <c r="F64" i="1"/>
  <c r="F68" i="2"/>
  <c r="F67" i="2"/>
  <c r="F69" i="3"/>
  <c r="F68" i="3"/>
  <c r="F64" i="8"/>
  <c r="F63" i="8"/>
  <c r="F60" i="5"/>
  <c r="F59" i="5"/>
  <c r="F42" i="3"/>
  <c r="F38" i="8"/>
  <c r="F36" i="8"/>
  <c r="F35" i="8"/>
  <c r="F34" i="3"/>
  <c r="F37" i="1"/>
  <c r="F36" i="3"/>
  <c r="F33" i="8"/>
  <c r="F32" i="8"/>
  <c r="F33" i="1"/>
  <c r="F38" i="1"/>
  <c r="F36" i="1"/>
  <c r="F34" i="1"/>
  <c r="F31" i="3"/>
  <c r="F30" i="8"/>
  <c r="F31" i="8"/>
  <c r="F46" i="3"/>
  <c r="F35" i="3"/>
  <c r="F32" i="3"/>
  <c r="F34" i="8"/>
  <c r="F54" i="8"/>
  <c r="F50" i="5"/>
  <c r="F59" i="6"/>
  <c r="F58" i="6"/>
  <c r="F34" i="5"/>
  <c r="F36" i="5"/>
  <c r="F32" i="5"/>
  <c r="F49" i="6"/>
  <c r="A6" i="1"/>
  <c r="A7" i="1" s="1"/>
  <c r="A8" i="1" s="1"/>
  <c r="A9" i="1" s="1"/>
  <c r="A10" i="1" s="1"/>
  <c r="A11" i="1" s="1"/>
  <c r="A12" i="1" s="1"/>
  <c r="A13" i="1" s="1"/>
  <c r="A14" i="1" s="1"/>
  <c r="A15" i="1" s="1"/>
  <c r="A17" i="1" s="1"/>
  <c r="A18" i="1" s="1"/>
  <c r="A19" i="1" s="1"/>
  <c r="A20" i="1" s="1"/>
  <c r="A21" i="1" s="1"/>
  <c r="A22" i="1" s="1"/>
  <c r="A24" i="1" s="1"/>
  <c r="A25" i="1" s="1"/>
  <c r="A26" i="1" s="1"/>
  <c r="A27" i="1" s="1"/>
  <c r="A28" i="1" s="1"/>
  <c r="A29" i="1" s="1"/>
  <c r="A30" i="1" s="1"/>
  <c r="A31" i="1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7" i="2" s="1"/>
  <c r="A18" i="2" s="1"/>
  <c r="A19" i="2" s="1"/>
  <c r="A20" i="2" s="1"/>
  <c r="A21" i="2" s="1"/>
  <c r="A22" i="2" s="1"/>
  <c r="A24" i="2" s="1"/>
  <c r="A25" i="2" s="1"/>
  <c r="A26" i="2" s="1"/>
  <c r="A27" i="2" s="1"/>
  <c r="A28" i="2" s="1"/>
  <c r="A29" i="2" s="1"/>
  <c r="A30" i="2" s="1"/>
  <c r="A31" i="2" s="1"/>
  <c r="A32" i="2" s="1"/>
  <c r="A6" i="3"/>
  <c r="A7" i="3" s="1"/>
  <c r="A8" i="3" s="1"/>
  <c r="A9" i="3" s="1"/>
  <c r="A10" i="3" s="1"/>
  <c r="A11" i="3" s="1"/>
  <c r="A12" i="3" s="1"/>
  <c r="A13" i="3" s="1"/>
  <c r="A14" i="3" s="1"/>
  <c r="A15" i="3" s="1"/>
  <c r="A17" i="3" s="1"/>
  <c r="A18" i="3" s="1"/>
  <c r="A19" i="3" s="1"/>
  <c r="A20" i="3" s="1"/>
  <c r="A21" i="3" s="1"/>
  <c r="A22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6" i="8"/>
  <c r="A7" i="8" s="1"/>
  <c r="A8" i="8" s="1"/>
  <c r="A9" i="8" s="1"/>
  <c r="A10" i="8" s="1"/>
  <c r="A11" i="8" s="1"/>
  <c r="A12" i="8" s="1"/>
  <c r="A13" i="8" s="1"/>
  <c r="A14" i="8" s="1"/>
  <c r="A15" i="8" s="1"/>
  <c r="A17" i="8" s="1"/>
  <c r="A18" i="8" s="1"/>
  <c r="A19" i="8" s="1"/>
  <c r="A20" i="8" s="1"/>
  <c r="A21" i="8" s="1"/>
  <c r="A22" i="8" s="1"/>
  <c r="A24" i="8" s="1"/>
  <c r="A25" i="8" s="1"/>
  <c r="A26" i="8" s="1"/>
  <c r="A27" i="8" s="1"/>
  <c r="A28" i="8" s="1"/>
  <c r="A6" i="5"/>
  <c r="A7" i="5" s="1"/>
  <c r="A8" i="5" s="1"/>
  <c r="A9" i="5" s="1"/>
  <c r="A10" i="5" s="1"/>
  <c r="A11" i="5" s="1"/>
  <c r="A12" i="5" s="1"/>
  <c r="A13" i="5" s="1"/>
  <c r="A14" i="5" s="1"/>
  <c r="A15" i="5" s="1"/>
  <c r="A17" i="5" s="1"/>
  <c r="A18" i="5" s="1"/>
  <c r="A19" i="5" s="1"/>
  <c r="A20" i="5" s="1"/>
  <c r="A21" i="5" s="1"/>
  <c r="A22" i="5" s="1"/>
  <c r="A6" i="6"/>
  <c r="A7" i="6" s="1"/>
  <c r="A8" i="6" s="1"/>
  <c r="A9" i="6" s="1"/>
  <c r="A10" i="6" s="1"/>
  <c r="A11" i="6" s="1"/>
  <c r="A12" i="6" s="1"/>
  <c r="N29" i="8"/>
  <c r="A24" i="5" l="1"/>
  <c r="A25" i="5" s="1"/>
  <c r="A26" i="5" s="1"/>
  <c r="A27" i="5" s="1"/>
  <c r="A28" i="5" s="1"/>
  <c r="A29" i="5" s="1"/>
  <c r="A30" i="5" s="1"/>
  <c r="A32" i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4" i="1" s="1"/>
  <c r="A45" i="1" s="1"/>
  <c r="A46" i="1" s="1"/>
  <c r="A47" i="1" s="1"/>
  <c r="A48" i="1" s="1"/>
  <c r="A49" i="1" s="1"/>
  <c r="A50" i="1" s="1"/>
  <c r="A51" i="1" s="1"/>
  <c r="A53" i="1" s="1"/>
  <c r="A54" i="1" s="1"/>
  <c r="A55" i="1" s="1"/>
  <c r="A56" i="1" s="1"/>
  <c r="A57" i="1" s="1"/>
  <c r="A58" i="1" s="1"/>
  <c r="A59" i="1" s="1"/>
  <c r="A60" i="1" s="1"/>
  <c r="A61" i="1" s="1"/>
  <c r="A63" i="1" s="1"/>
  <c r="A64" i="1" s="1"/>
  <c r="A65" i="1" s="1"/>
  <c r="A67" i="1" s="1"/>
  <c r="A68" i="1" s="1"/>
  <c r="A69" i="1" s="1"/>
  <c r="A71" i="1" s="1"/>
  <c r="A72" i="1" s="1"/>
  <c r="A73" i="1" s="1"/>
  <c r="A74" i="1" s="1"/>
  <c r="A75" i="1" s="1"/>
  <c r="A77" i="1" s="1"/>
  <c r="A78" i="1" s="1"/>
  <c r="A79" i="1" s="1"/>
  <c r="A80" i="1" s="1"/>
  <c r="A81" i="1" s="1"/>
  <c r="A33" i="2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7" i="2" s="1"/>
  <c r="A48" i="2" s="1"/>
  <c r="A49" i="2" s="1"/>
  <c r="A50" i="2" s="1"/>
  <c r="A51" i="2" s="1"/>
  <c r="A52" i="2" s="1"/>
  <c r="A53" i="2" s="1"/>
  <c r="A54" i="2" s="1"/>
  <c r="A56" i="2" s="1"/>
  <c r="A57" i="2" s="1"/>
  <c r="A58" i="2" s="1"/>
  <c r="A59" i="2" s="1"/>
  <c r="A60" i="2" s="1"/>
  <c r="A61" i="2" s="1"/>
  <c r="A62" i="2" s="1"/>
  <c r="A63" i="2" s="1"/>
  <c r="A64" i="2" s="1"/>
  <c r="A66" i="2" s="1"/>
  <c r="A67" i="2" s="1"/>
  <c r="A68" i="2" s="1"/>
  <c r="A70" i="2" s="1"/>
  <c r="A71" i="2" s="1"/>
  <c r="A72" i="2" s="1"/>
  <c r="A74" i="2" s="1"/>
  <c r="A75" i="2" s="1"/>
  <c r="A76" i="2" s="1"/>
  <c r="A77" i="2" s="1"/>
  <c r="A78" i="2" s="1"/>
  <c r="A80" i="2" s="1"/>
  <c r="A81" i="2" s="1"/>
  <c r="A82" i="2" s="1"/>
  <c r="A83" i="2" s="1"/>
  <c r="A84" i="2" s="1"/>
  <c r="A13" i="6"/>
  <c r="A14" i="6" s="1"/>
  <c r="A15" i="6" s="1"/>
  <c r="A17" i="6" s="1"/>
  <c r="A18" i="6" s="1"/>
  <c r="A19" i="6" s="1"/>
  <c r="A20" i="6" s="1"/>
  <c r="A21" i="6" s="1"/>
  <c r="A22" i="6" s="1"/>
  <c r="A24" i="6" s="1"/>
  <c r="A25" i="6" s="1"/>
  <c r="A26" i="6" s="1"/>
  <c r="A29" i="8"/>
  <c r="A30" i="8" s="1"/>
  <c r="A43" i="3" l="1"/>
  <c r="A44" i="3" s="1"/>
  <c r="A45" i="3" s="1"/>
  <c r="A46" i="3" s="1"/>
  <c r="A48" i="3" s="1"/>
  <c r="A49" i="3" s="1"/>
  <c r="A50" i="3" s="1"/>
  <c r="A51" i="3" s="1"/>
  <c r="A52" i="3" s="1"/>
  <c r="A53" i="3" s="1"/>
  <c r="A54" i="3" s="1"/>
  <c r="A55" i="3" s="1"/>
  <c r="A57" i="3" s="1"/>
  <c r="A58" i="3" s="1"/>
  <c r="A59" i="3" s="1"/>
  <c r="A60" i="3" s="1"/>
  <c r="A61" i="3" s="1"/>
  <c r="A62" i="3" s="1"/>
  <c r="A63" i="3" s="1"/>
  <c r="A64" i="3" s="1"/>
  <c r="A65" i="3" s="1"/>
  <c r="A67" i="3" s="1"/>
  <c r="A68" i="3" s="1"/>
  <c r="A69" i="3" s="1"/>
  <c r="A71" i="3" s="1"/>
  <c r="A72" i="3" s="1"/>
  <c r="A73" i="3" s="1"/>
  <c r="A75" i="3" s="1"/>
  <c r="A76" i="3" s="1"/>
  <c r="A77" i="3" s="1"/>
  <c r="A78" i="3" s="1"/>
  <c r="A79" i="3" s="1"/>
  <c r="A81" i="3" s="1"/>
  <c r="A82" i="3" s="1"/>
  <c r="A83" i="3" s="1"/>
  <c r="A84" i="3" s="1"/>
  <c r="A85" i="3" s="1"/>
  <c r="A27" i="6"/>
  <c r="A28" i="6" s="1"/>
  <c r="A29" i="6" s="1"/>
  <c r="A30" i="6" s="1"/>
  <c r="A31" i="6" s="1"/>
  <c r="A32" i="6" s="1"/>
  <c r="A33" i="6" s="1"/>
  <c r="A34" i="6" s="1"/>
  <c r="A35" i="6" s="1"/>
  <c r="A36" i="6" s="1"/>
  <c r="A38" i="6" s="1"/>
  <c r="A31" i="8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3" i="8" s="1"/>
  <c r="A44" i="8" s="1"/>
  <c r="A45" i="8" s="1"/>
  <c r="A46" i="8" s="1"/>
  <c r="A47" i="8" s="1"/>
  <c r="A48" i="8" s="1"/>
  <c r="A49" i="8" s="1"/>
  <c r="A50" i="8" s="1"/>
  <c r="A52" i="8" s="1"/>
  <c r="A53" i="8" s="1"/>
  <c r="A31" i="5"/>
  <c r="A32" i="5" s="1"/>
  <c r="A33" i="5" s="1"/>
  <c r="A34" i="5" s="1"/>
  <c r="A35" i="5" s="1"/>
  <c r="A36" i="5" s="1"/>
  <c r="A83" i="1"/>
  <c r="A84" i="1" s="1"/>
  <c r="A85" i="1" s="1"/>
  <c r="A87" i="1" s="1"/>
  <c r="A54" i="8" l="1"/>
  <c r="A55" i="8" s="1"/>
  <c r="A56" i="8" s="1"/>
  <c r="A57" i="8" s="1"/>
  <c r="A58" i="8" s="1"/>
  <c r="A59" i="8" s="1"/>
  <c r="A60" i="8" s="1"/>
  <c r="A62" i="8" s="1"/>
  <c r="A63" i="8" s="1"/>
  <c r="A64" i="8" s="1"/>
  <c r="A66" i="8" s="1"/>
  <c r="A67" i="8" s="1"/>
  <c r="A68" i="8" s="1"/>
  <c r="A70" i="8" s="1"/>
  <c r="A71" i="8" s="1"/>
  <c r="A72" i="8" s="1"/>
  <c r="A73" i="8" s="1"/>
  <c r="A74" i="8" s="1"/>
  <c r="A76" i="8" s="1"/>
  <c r="A77" i="8" s="1"/>
  <c r="A78" i="8" s="1"/>
  <c r="A79" i="8" s="1"/>
  <c r="A80" i="8" s="1"/>
  <c r="A82" i="8" s="1"/>
  <c r="A83" i="8" s="1"/>
  <c r="A84" i="8" s="1"/>
  <c r="A86" i="8" s="1"/>
  <c r="A87" i="8" s="1"/>
  <c r="A88" i="8" s="1"/>
  <c r="A89" i="8" s="1"/>
  <c r="A90" i="8" s="1"/>
  <c r="A91" i="8" s="1"/>
  <c r="A92" i="8" s="1"/>
  <c r="A88" i="1"/>
  <c r="A89" i="1" s="1"/>
  <c r="A90" i="1" s="1"/>
  <c r="A91" i="1" s="1"/>
  <c r="A92" i="1" s="1"/>
  <c r="A93" i="1" s="1"/>
  <c r="A37" i="5"/>
  <c r="A39" i="5" s="1"/>
  <c r="A86" i="2"/>
  <c r="A87" i="2" s="1"/>
  <c r="A88" i="2" s="1"/>
  <c r="A90" i="2" s="1"/>
  <c r="A87" i="3"/>
  <c r="A88" i="3" s="1"/>
  <c r="A89" i="3" s="1"/>
  <c r="A91" i="3" s="1"/>
  <c r="A92" i="3" l="1"/>
  <c r="A93" i="3" s="1"/>
  <c r="A94" i="3" s="1"/>
  <c r="A95" i="3" s="1"/>
  <c r="A96" i="3" s="1"/>
  <c r="A97" i="3" s="1"/>
  <c r="A40" i="5"/>
  <c r="A41" i="5"/>
  <c r="A42" i="5" s="1"/>
  <c r="A43" i="5" s="1"/>
  <c r="A44" i="5" s="1"/>
  <c r="A45" i="5" s="1"/>
  <c r="A46" i="5" s="1"/>
  <c r="A48" i="5" s="1"/>
  <c r="A49" i="5" s="1"/>
  <c r="A50" i="5" s="1"/>
  <c r="A51" i="5" s="1"/>
  <c r="A52" i="5" s="1"/>
  <c r="A53" i="5" s="1"/>
  <c r="A54" i="5" s="1"/>
  <c r="A55" i="5" s="1"/>
  <c r="A56" i="5" s="1"/>
  <c r="A58" i="5" s="1"/>
  <c r="A59" i="5" s="1"/>
  <c r="A60" i="5" s="1"/>
  <c r="A62" i="5" s="1"/>
  <c r="A63" i="5" s="1"/>
  <c r="A64" i="5" s="1"/>
  <c r="A66" i="5" s="1"/>
  <c r="A67" i="5" s="1"/>
  <c r="A68" i="5" s="1"/>
  <c r="A69" i="5" s="1"/>
  <c r="A70" i="5" s="1"/>
  <c r="A72" i="5" s="1"/>
  <c r="A73" i="5" s="1"/>
  <c r="A74" i="5" s="1"/>
  <c r="A75" i="5" s="1"/>
  <c r="A76" i="5" s="1"/>
  <c r="A78" i="5" s="1"/>
  <c r="A79" i="5" s="1"/>
  <c r="A80" i="5" s="1"/>
  <c r="A39" i="6"/>
  <c r="A40" i="6" s="1"/>
  <c r="A41" i="6" s="1"/>
  <c r="A42" i="6" s="1"/>
  <c r="A43" i="6" s="1"/>
  <c r="A44" i="6" s="1"/>
  <c r="A45" i="6" s="1"/>
  <c r="A47" i="6" s="1"/>
  <c r="A48" i="6" s="1"/>
  <c r="A49" i="6" s="1"/>
  <c r="A50" i="6" s="1"/>
  <c r="A51" i="6" s="1"/>
  <c r="A52" i="6" s="1"/>
  <c r="A53" i="6" s="1"/>
  <c r="A54" i="6" s="1"/>
  <c r="A55" i="6" s="1"/>
  <c r="A57" i="6" s="1"/>
  <c r="A58" i="6" s="1"/>
  <c r="A59" i="6" s="1"/>
  <c r="A61" i="6" s="1"/>
  <c r="A62" i="6" s="1"/>
  <c r="A63" i="6" s="1"/>
  <c r="A65" i="6" s="1"/>
  <c r="A66" i="6" s="1"/>
  <c r="A67" i="6" s="1"/>
  <c r="A68" i="6" s="1"/>
  <c r="A69" i="6" s="1"/>
  <c r="A71" i="6" s="1"/>
  <c r="A72" i="6" s="1"/>
  <c r="A73" i="6" s="1"/>
  <c r="A74" i="6" s="1"/>
  <c r="A75" i="6" s="1"/>
  <c r="A77" i="6" s="1"/>
  <c r="A78" i="6" s="1"/>
  <c r="A79" i="6" s="1"/>
  <c r="A81" i="6" s="1"/>
  <c r="A91" i="2" l="1"/>
  <c r="A92" i="2" s="1"/>
  <c r="A93" i="2" s="1"/>
  <c r="A94" i="2" s="1"/>
  <c r="A95" i="2" s="1"/>
  <c r="A96" i="2" s="1"/>
  <c r="A82" i="5"/>
  <c r="A83" i="5" s="1"/>
  <c r="A84" i="5" s="1"/>
  <c r="A85" i="5" s="1"/>
  <c r="A86" i="5" s="1"/>
  <c r="A87" i="5" s="1"/>
  <c r="A88" i="5" s="1"/>
  <c r="A82" i="6"/>
  <c r="A83" i="6" s="1"/>
  <c r="A84" i="6" s="1"/>
  <c r="A85" i="6" s="1"/>
  <c r="A86" i="6" s="1"/>
  <c r="A8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tc={AF2408B8-9556-457B-8E26-6DADF004A396}</author>
    <author>tc={3C159A77-3EE0-461D-A090-5B90BE9C161A}</author>
    <author>tc={BE469F34-2582-4A8F-9846-3A9C275FCF0A}</author>
    <author>tc={60983DC2-6B50-4965-B267-654E0DE0DC4F}</author>
    <author>tc={2E5E0034-095C-4066-8A53-A269483BA009}</author>
    <author>tc={C437B20D-1610-4B85-9DA9-43C33C1A3E48}</author>
    <author>tc={C0D9E765-E6F3-48D1-BADF-67A9E9803EEB}</author>
    <author>tc={54B55A9E-4803-4AA0-B8A7-874E7B5F9300}</author>
    <author>tc={6C8386A4-387A-4D37-9555-B301A5F67DC4}</author>
    <author>tc={D4EFE525-A3B3-403A-AAB6-2EC678010B89}</author>
    <author>tc={FA621D09-E209-4972-B2F3-1C30488D9B3A}</author>
    <author>tc={71D570F6-ECB1-40E5-BC38-40E8A86B92FB}</author>
    <author>tc={DB3C076C-4B1F-46D8-88D1-43AB4226A011}</author>
    <author>tc={1260BE4B-FF7D-4A3A-B312-A6ACA3786236}</author>
    <author>tc={280236A9-EEA1-44A9-8A11-1373991F0E47}</author>
    <author>tc={3176ECC9-95AF-48A0-A648-7437E2C1F8B4}</author>
    <author>tc={EBDEC8AE-F77E-48CB-B56A-F704ECE6F3DB}</author>
    <author>tc={3E14F339-434B-4F29-A4CF-16619AA1CCC9}</author>
    <author>tc={5B58FA65-7244-45A6-B4DC-0BEC62AA5CDC}</author>
    <author>tc={FBB9935D-7E5D-4E6D-BE0D-C234C0DF1B3B}</author>
    <author>tc={1D55EC7A-1CD5-49FD-812A-DF1FB6726510}</author>
    <author>tc={4816B7BD-4187-4D72-AE47-C9D5B156EFD8}</author>
  </authors>
  <commentList>
    <comment ref="C2" authorId="0" shapeId="0" xr:uid="{AF2408B8-9556-457B-8E26-6DADF004A3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he revisado el listado. Me parece bien y completo (sin ser yo un experto). 
Os rebotaría la pregunta de:
¿Cuál es la información mínima que necesitaríamos para poder cuadrar una interconexión entre comprador y ofertante?
Es posible que en la oferta no necesitáramos más que información esencial como: foto, nombre-familia-marca, categoría, dimensiones, cantidas disponible, fecha de disponibilidad, localización....
</t>
      </text>
    </comment>
    <comment ref="C11" authorId="1" shapeId="0" xr:uid="{3C159A77-3EE0-461D-A090-5B90BE9C16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sé si este valor tiene que ir aquí o a parte</t>
      </text>
    </comment>
    <comment ref="C13" authorId="2" shapeId="0" xr:uid="{BE469F34-2582-4A8F-9846-3A9C275FCF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caso que haya más de un material para un elemento, añadir % en peso de cada material presente
Respuesta:
    No confundir formato con materiales de cada componente</t>
      </text>
    </comment>
    <comment ref="C19" authorId="3" shapeId="0" xr:uid="{60983DC2-6B50-4965-B267-654E0DE0DC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Redundante usos abajo del todo</t>
      </text>
    </comment>
    <comment ref="F20" authorId="4" shapeId="0" xr:uid="{2E5E0034-095C-4066-8A53-A269483BA0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Ejemplos en función de si la puerta es de un solo material (lo dudo) o si es mixto y moderna (ya no se utilizan materiales peligrosos) o antigua (se utilizaba algún material peligroso).</t>
      </text>
    </comment>
    <comment ref="C22" authorId="5" shapeId="0" xr:uid="{C437B20D-1610-4B85-9DA9-43C33C1A3E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Ejemplos: 
Material &gt; Ladrillo: Perforado y aligerado
Elemento &gt; Ventana: Marco multicámara (3 cámaras) de PVC con acristalamiento (4/16/4) LOW-E y lámina de control solar
Elemento &gt; Viga: IPE, IPN,...</t>
      </text>
    </comment>
    <comment ref="C23" authorId="6" shapeId="0" xr:uid="{C0D9E765-E6F3-48D1-BADF-67A9E9803E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Composición del material o del elemento</t>
      </text>
    </comment>
    <comment ref="C28" authorId="7" shapeId="0" xr:uid="{54B55A9E-4803-4AA0-B8A7-874E7B5F93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REPETIDO &gt; Ver específicos</t>
      </text>
    </comment>
    <comment ref="C29" authorId="8" shapeId="0" xr:uid="{6C8386A4-387A-4D37-9555-B301A5F67D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REPETIDO &gt; Ver específicos</t>
      </text>
    </comment>
    <comment ref="C30" authorId="9" shapeId="0" xr:uid="{D4EFE525-A3B3-403A-AAB6-2EC678010B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no lo tenemos --&gt; Volumen (dimensiones) x Densidad (tablas de materiales genéricos o específica) = PESO
Respuesta:
    Ha de ser la suma del peso de sus materiales en elementos o materiales mixtos.</t>
      </text>
    </comment>
    <comment ref="C51" authorId="10" shapeId="0" xr:uid="{FA621D09-E209-4972-B2F3-1C30488D9B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Similar a g &gt; Americano</t>
      </text>
    </comment>
    <comment ref="C73" authorId="11" shapeId="0" xr:uid="{71D570F6-ECB1-40E5-BC38-40E8A86B92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Fuera - es gestión… que hace aquí?</t>
      </text>
    </comment>
    <comment ref="C74" authorId="12" shapeId="0" xr:uid="{DB3C076C-4B1F-46D8-88D1-43AB4226A0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en datos… si hay datos de ficha tecnica tiene que venir conforme a la norma: Redundante.</t>
      </text>
    </comment>
    <comment ref="C75" authorId="13" shapeId="0" xr:uid="{1260BE4B-FF7D-4A3A-B312-A6ACA37862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IDEM al anterior</t>
      </text>
    </comment>
    <comment ref="C77" authorId="14" shapeId="0" xr:uid="{280236A9-EEA1-44A9-8A11-1373991F0E4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Eliminar: Redundante con marca </t>
      </text>
    </comment>
    <comment ref="C82" authorId="15" shapeId="0" xr:uid="{3176ECC9-95AF-48A0-A648-7437E2C1F8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elegir de un listado???</t>
      </text>
    </comment>
    <comment ref="C87" authorId="16" shapeId="0" xr:uid="{EBDEC8AE-F77E-48CB-B56A-F704ECE6F3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ponemos del edificio del que viene es redundante con la información catastral</t>
      </text>
    </comment>
    <comment ref="D99" authorId="17" shapeId="0" xr:uid="{3E14F339-434B-4F29-A4CF-16619AA1CC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mi es NA - No va en euros hasta que no encuentres quien lo adecúe</t>
      </text>
    </comment>
    <comment ref="C109" authorId="18" shapeId="0" xr:uid="{5B58FA65-7244-45A6-B4DC-0BEC62AA5C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debería vender. La prueba es de comprobación...</t>
      </text>
    </comment>
    <comment ref="C116" authorId="19" shapeId="0" xr:uid="{FBB9935D-7E5D-4E6D-BE0D-C234C0DF1B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Redundante con referencia catastral
Respuesta:
    Quizas pondria algo asi como en almacen? Y que si esta en almacen la referencia sea la del almacén y si marcan no pues sea la del edificio….</t>
      </text>
    </comment>
    <comment ref="C124" authorId="20" shapeId="0" xr:uid="{1D55EC7A-1CD5-49FD-812A-DF1FB67265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Añadir Unidad Funcional (UF) del impacto (tCO2eq/UF) la UF puede ser m2, kg, 1 unidad, etc...
Respuesta:
    ESTO ES OUTPUT</t>
      </text>
    </comment>
    <comment ref="C126" authorId="21" shapeId="0" xr:uid="{4816B7BD-4187-4D72-AE47-C9D5B156EF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Redundante - Ya esta arriba el peso el % y demás...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tc={A83695D5-025E-4745-B6F6-EDB7ED10EFBE}</author>
  </authors>
  <commentList>
    <comment ref="J42" authorId="0" shapeId="0" xr:uid="{A83695D5-025E-4745-B6F6-EDB7ED10EF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¿Reacción o resistencia?</t>
      </text>
    </comment>
  </commentList>
</comments>
</file>

<file path=xl/sharedStrings.xml><?xml version="1.0" encoding="utf-8"?>
<sst xmlns="http://schemas.openxmlformats.org/spreadsheetml/2006/main" count="6004" uniqueCount="602">
  <si>
    <t>Categoría</t>
  </si>
  <si>
    <t>Nombre parametro</t>
  </si>
  <si>
    <t>Unidades</t>
  </si>
  <si>
    <t>Categoría a la que aplica</t>
  </si>
  <si>
    <t xml:space="preserve">Datos Generales </t>
  </si>
  <si>
    <t>Cubiertas</t>
  </si>
  <si>
    <t>NA</t>
  </si>
  <si>
    <t>Todos</t>
  </si>
  <si>
    <t>Elemento Estructural</t>
  </si>
  <si>
    <t>Nombre del producto</t>
  </si>
  <si>
    <t>Modelo o Referencia</t>
  </si>
  <si>
    <t>IPF360</t>
  </si>
  <si>
    <t>Datos específicos</t>
  </si>
  <si>
    <t>Formato (materiales)</t>
  </si>
  <si>
    <t>Sección</t>
  </si>
  <si>
    <t>Estructura</t>
  </si>
  <si>
    <t xml:space="preserve">Color </t>
  </si>
  <si>
    <t xml:space="preserve">Acabado </t>
  </si>
  <si>
    <t>Tratamiento</t>
  </si>
  <si>
    <t>Usos posibles</t>
  </si>
  <si>
    <t>Código Ler</t>
  </si>
  <si>
    <t>Documentación técnica de primer uso</t>
  </si>
  <si>
    <t>Acero</t>
  </si>
  <si>
    <t>Vidrio</t>
  </si>
  <si>
    <t>PVC</t>
  </si>
  <si>
    <t xml:space="preserve">Composición </t>
  </si>
  <si>
    <t xml:space="preserve">Dimensiones </t>
  </si>
  <si>
    <t xml:space="preserve">Dimensiones sección (Estructura): </t>
  </si>
  <si>
    <t>mm</t>
  </si>
  <si>
    <t>Peso aproximado</t>
  </si>
  <si>
    <t>kg/m² o kN/m2</t>
  </si>
  <si>
    <t>Tipo de hormigón</t>
  </si>
  <si>
    <t>Clase de exposición</t>
  </si>
  <si>
    <t>Tipo de acero</t>
  </si>
  <si>
    <t xml:space="preserve">Armaduras: </t>
  </si>
  <si>
    <t>Tipo de madera:</t>
  </si>
  <si>
    <t>Norma:</t>
  </si>
  <si>
    <t>Tipo y Grado</t>
  </si>
  <si>
    <t>Tipo de vidrio</t>
  </si>
  <si>
    <t>Transmisión de luz</t>
  </si>
  <si>
    <t>%</t>
  </si>
  <si>
    <t>Reflexión de luz interna</t>
  </si>
  <si>
    <t>Reflexión de luz externa</t>
  </si>
  <si>
    <t>Factor solar</t>
  </si>
  <si>
    <t>Coeficiente de sombra</t>
  </si>
  <si>
    <t>Transmitancia térmica elemento</t>
  </si>
  <si>
    <t>W/m2K</t>
  </si>
  <si>
    <t>Opacos</t>
  </si>
  <si>
    <t>W/mK</t>
  </si>
  <si>
    <t>Resistencia a compresión</t>
  </si>
  <si>
    <t>N</t>
  </si>
  <si>
    <t>Resistencia a tracción</t>
  </si>
  <si>
    <t>Carga máxima</t>
  </si>
  <si>
    <t>N/m2</t>
  </si>
  <si>
    <t>Punzonamiento</t>
  </si>
  <si>
    <t>Resistencia al impacto</t>
  </si>
  <si>
    <t>Reacción al fuego</t>
  </si>
  <si>
    <t>Inflamabilidad</t>
  </si>
  <si>
    <t>Resistencia al fuego</t>
  </si>
  <si>
    <t>min</t>
  </si>
  <si>
    <t>Aislamiento acústico</t>
  </si>
  <si>
    <t>dB/dBA</t>
  </si>
  <si>
    <t>Protección UV</t>
  </si>
  <si>
    <t>Instalaciones</t>
  </si>
  <si>
    <t>Calidad</t>
  </si>
  <si>
    <t>Permisión de grietas</t>
  </si>
  <si>
    <t>Insectos</t>
  </si>
  <si>
    <t>Deformación</t>
  </si>
  <si>
    <t>Normativas y Certificaciones en su primer uso</t>
  </si>
  <si>
    <t xml:space="preserve">ISO 9001 en fabricación (¿libro del edificio 2021?) </t>
  </si>
  <si>
    <t xml:space="preserve">Certificación EN 13501-1 (Reacción al fuego) (¿libro del edificio 2021?) </t>
  </si>
  <si>
    <t xml:space="preserve">Resistencia mecánica conforme a ASTM D638 (¿libro del edificio 2021?) </t>
  </si>
  <si>
    <t>Contacto y Distribución</t>
  </si>
  <si>
    <t>Nombre del fabricante</t>
  </si>
  <si>
    <t>Distribuidor</t>
  </si>
  <si>
    <t>Estado y Procedencia (trazabilidad)</t>
  </si>
  <si>
    <t>Fecha</t>
  </si>
  <si>
    <t>Tiempo estimado de uso anterior</t>
  </si>
  <si>
    <t>Número</t>
  </si>
  <si>
    <t>Condición del producto y compatibilidad</t>
  </si>
  <si>
    <t>Mantenimientos</t>
  </si>
  <si>
    <t>Estado de conservación</t>
  </si>
  <si>
    <t xml:space="preserve">	Desgaste visible</t>
  </si>
  <si>
    <t>Modificaciones previa</t>
  </si>
  <si>
    <t>Partes faltantes o sustituidas</t>
  </si>
  <si>
    <t>Tipo de adecuación necesario</t>
  </si>
  <si>
    <t>€</t>
  </si>
  <si>
    <t xml:space="preserve">Funcionalidad </t>
  </si>
  <si>
    <t xml:space="preserve">Seguridad </t>
  </si>
  <si>
    <t>Cumple con las normativas vigentes</t>
  </si>
  <si>
    <t>S/N</t>
  </si>
  <si>
    <t>Posibles riesgos</t>
  </si>
  <si>
    <t>Idoneidad para la reutilización</t>
  </si>
  <si>
    <t>Uso previsto</t>
  </si>
  <si>
    <t>No apto</t>
  </si>
  <si>
    <t>Uso secundario</t>
  </si>
  <si>
    <t>moderado</t>
  </si>
  <si>
    <t>Uso alternativo</t>
  </si>
  <si>
    <t>apto</t>
  </si>
  <si>
    <t xml:space="preserve">Condiciones de Transporte y Almacenamiento </t>
  </si>
  <si>
    <t>georeferencia?</t>
  </si>
  <si>
    <t>Desmontaje</t>
  </si>
  <si>
    <t>Modo de embalaje o almacenamiento</t>
  </si>
  <si>
    <t xml:space="preserve">Protección durante el almacenaje </t>
  </si>
  <si>
    <t>Recomendaciones para traslado</t>
  </si>
  <si>
    <t>Kg</t>
  </si>
  <si>
    <t>Impacto Ambiental y Beneficios de Reutilización</t>
  </si>
  <si>
    <t>1,30 (tCO2eq/unidad)</t>
  </si>
  <si>
    <t>Opciones de reciclaje al final de su segunda vida útil</t>
  </si>
  <si>
    <t>Composición en masa de cada material</t>
  </si>
  <si>
    <t>Porcentaje de reciclado en origen del material</t>
  </si>
  <si>
    <t>Precio y Disponibilidad</t>
  </si>
  <si>
    <t>Precio elemento original</t>
  </si>
  <si>
    <t>Nº Unidades</t>
  </si>
  <si>
    <t>Fecha inicio disponibilidad de compra</t>
  </si>
  <si>
    <t>Fecha final de disponibilidad de compra</t>
  </si>
  <si>
    <t>Cerramientos y división de espacios</t>
  </si>
  <si>
    <t>Tragaluces</t>
  </si>
  <si>
    <t>invernaderos</t>
  </si>
  <si>
    <t>Mamparas</t>
  </si>
  <si>
    <t>Aberturas y elementos de Cierre</t>
  </si>
  <si>
    <t>Aislamientos</t>
  </si>
  <si>
    <t xml:space="preserve">Instalaciones </t>
  </si>
  <si>
    <t>Elementos prefabricados</t>
  </si>
  <si>
    <t>Paneles solares</t>
  </si>
  <si>
    <t>Estructura y soporte</t>
  </si>
  <si>
    <t>bajoemisivo</t>
  </si>
  <si>
    <t>control solar</t>
  </si>
  <si>
    <t>electrocrómico</t>
  </si>
  <si>
    <t>Euroclase:</t>
  </si>
  <si>
    <t>Comportamiento al fuego</t>
  </si>
  <si>
    <t>Producción de humo</t>
  </si>
  <si>
    <t>Partículas inflamables</t>
  </si>
  <si>
    <t>Como nuevo</t>
  </si>
  <si>
    <t>Bueno</t>
  </si>
  <si>
    <t>Usado con desgaste leve</t>
  </si>
  <si>
    <t>Necesita reparación</t>
  </si>
  <si>
    <t>Arañazos</t>
  </si>
  <si>
    <t>Corrosión</t>
  </si>
  <si>
    <t>Pérdida de color</t>
  </si>
  <si>
    <t>Pequeñas fisuras</t>
  </si>
  <si>
    <t>Cortes</t>
  </si>
  <si>
    <t>Perforaciones</t>
  </si>
  <si>
    <t xml:space="preserve">Cambios de color </t>
  </si>
  <si>
    <t>recubrimientos añadidos</t>
  </si>
  <si>
    <t>Falta tornillería original</t>
  </si>
  <si>
    <t>Sustitución de componentes críticos</t>
  </si>
  <si>
    <t>tCO2eq/UF</t>
  </si>
  <si>
    <t>Puerta enrrollable prefabricada</t>
  </si>
  <si>
    <t>ALFA TORRES</t>
  </si>
  <si>
    <t>Puerta Batiente Metalica Cortafuegos Estándar, tipo EI2 60 - C5</t>
  </si>
  <si>
    <t>EI2 60 - C5</t>
  </si>
  <si>
    <t>Pintado a pistola</t>
  </si>
  <si>
    <t>RF60</t>
  </si>
  <si>
    <t>1800x2070 (anchoxalto)</t>
  </si>
  <si>
    <t>UNE-EN 1634-1</t>
  </si>
  <si>
    <t>RAL9010</t>
  </si>
  <si>
    <t>Sectorización de Espacios</t>
  </si>
  <si>
    <t>https://www.alfatorres.es/</t>
  </si>
  <si>
    <t>34 937 183 611</t>
  </si>
  <si>
    <t>fatorres@alfatorres.es</t>
  </si>
  <si>
    <t>Mercat Provisional Abaceria</t>
  </si>
  <si>
    <t>Galvanizado</t>
  </si>
  <si>
    <t>Envelat Vall, S.L.</t>
  </si>
  <si>
    <t>Lona de PVC con cámara de aire ligeramente presurizada</t>
  </si>
  <si>
    <t>AS21</t>
  </si>
  <si>
    <t>Blanco Translúcido</t>
  </si>
  <si>
    <t>M2</t>
  </si>
  <si>
    <t>Suciedad</t>
  </si>
  <si>
    <t>No</t>
  </si>
  <si>
    <t>Original</t>
  </si>
  <si>
    <t>Aluminio</t>
  </si>
  <si>
    <t>RAL7035</t>
  </si>
  <si>
    <t>M1</t>
  </si>
  <si>
    <t>CIAT</t>
  </si>
  <si>
    <t>R-410A</t>
  </si>
  <si>
    <t>Templado</t>
  </si>
  <si>
    <t>Traslúcido</t>
  </si>
  <si>
    <r>
      <t xml:space="preserve">Precio elemento actual </t>
    </r>
    <r>
      <rPr>
        <sz val="11"/>
        <color rgb="FFFF0000"/>
        <rFont val="Aptos"/>
        <family val="2"/>
      </rPr>
      <t>(¿estudio mercado Markel?)</t>
    </r>
  </si>
  <si>
    <r>
      <t xml:space="preserve">Disponibilidad </t>
    </r>
    <r>
      <rPr>
        <sz val="11"/>
        <color rgb="FFFF0000"/>
        <rFont val="Aptos"/>
        <family val="2"/>
      </rPr>
      <t>(Ejemplo: Stock limitado, Solo 3 piezas disponibles)</t>
    </r>
  </si>
  <si>
    <t>Huella de carbono estimada ahorrada (¿duda?)</t>
  </si>
  <si>
    <t>Puertas ContraIncendios</t>
  </si>
  <si>
    <t>Ud; m; m2; kg</t>
  </si>
  <si>
    <t>PAR - Puertas para uso comercial, industrial y de servicios comunes</t>
  </si>
  <si>
    <t>Subcategoría</t>
  </si>
  <si>
    <t>PA - Cerramientos y divisorias practicables</t>
  </si>
  <si>
    <t>Material o componente</t>
  </si>
  <si>
    <t>Componente</t>
  </si>
  <si>
    <t>Referencia catastral edificio</t>
  </si>
  <si>
    <t xml:space="preserve">Ubicación actual </t>
  </si>
  <si>
    <t>Medidas</t>
  </si>
  <si>
    <t>mm; cm; m;…</t>
  </si>
  <si>
    <t>Elementos y materiales formados</t>
  </si>
  <si>
    <t>Todos los que tengan código</t>
  </si>
  <si>
    <t>17 09 04 – Residuos mixtos de construcción y demolición (NO peligrosos)
ó 17 06 05* – Materiales de construcción que contienen sustancias peligrosas
ó 17 04 05 – Hierro y acero ó 17 04 02 – Aluminio</t>
  </si>
  <si>
    <t>Material 2; 3; …</t>
  </si>
  <si>
    <t>Material Principal</t>
  </si>
  <si>
    <t>Aquellos que lo necesiten (por ej: Aislamiento --&gt; Formato = Placas, rollo, tableros,...)</t>
  </si>
  <si>
    <t>Elementos o materiales mixtos</t>
  </si>
  <si>
    <t>NA (Texto)</t>
  </si>
  <si>
    <r>
      <rPr>
        <sz val="11"/>
        <color theme="4"/>
        <rFont val="Calibri"/>
        <family val="2"/>
        <scheme val="minor"/>
      </rPr>
      <t>Caracterización /</t>
    </r>
    <r>
      <rPr>
        <sz val="11"/>
        <color theme="1"/>
        <rFont val="Calibri"/>
        <family val="2"/>
        <scheme val="minor"/>
      </rPr>
      <t xml:space="preserve"> Estructura interna</t>
    </r>
  </si>
  <si>
    <t>Dimensiones del material principal</t>
  </si>
  <si>
    <t>Dimensiones del material 2; 3; …</t>
  </si>
  <si>
    <t>N/mm2</t>
  </si>
  <si>
    <t xml:space="preserve">Tensiones a compresión </t>
  </si>
  <si>
    <t>mkN</t>
  </si>
  <si>
    <t xml:space="preserve">Momento límite de servicio </t>
  </si>
  <si>
    <t>Momento último</t>
  </si>
  <si>
    <t>kN</t>
  </si>
  <si>
    <t xml:space="preserve">Límite elástico </t>
  </si>
  <si>
    <t xml:space="preserve">Cortante último </t>
  </si>
  <si>
    <t>m2MN</t>
  </si>
  <si>
    <t xml:space="preserve">Rigidez </t>
  </si>
  <si>
    <t>(%) Tanto por 1</t>
  </si>
  <si>
    <t>Vidrio / Ventana / muro cortina</t>
  </si>
  <si>
    <t>Transmitancia térmica componente 1</t>
  </si>
  <si>
    <t>Transmitancia térmica componente 2, 3,…</t>
  </si>
  <si>
    <t>Materiales</t>
  </si>
  <si>
    <t>Conductividad térmica material principal</t>
  </si>
  <si>
    <t>Conductividad térmica material 1, 2,…</t>
  </si>
  <si>
    <t>Elementos mixtos</t>
  </si>
  <si>
    <t>Materiales compuestos (ejemplo: Panel sandwich)</t>
  </si>
  <si>
    <t>Elementos</t>
  </si>
  <si>
    <t>Elementos y materiales</t>
  </si>
  <si>
    <t>Temperatura de trabajo</t>
  </si>
  <si>
    <t xml:space="preserve">Permeabilidad al aire </t>
  </si>
  <si>
    <t>Permeabilidad al al vapor de agua</t>
  </si>
  <si>
    <t>Materiales que se degradan con el sol</t>
  </si>
  <si>
    <t>… (Caracteristicas propias).</t>
  </si>
  <si>
    <t>*</t>
  </si>
  <si>
    <t>Estructura / Materiales o componentes con características específicas (ej: vidrio laminado)</t>
  </si>
  <si>
    <t xml:space="preserve">NA - 
Ejemplo: Ensayos de la idoneidad de la estructura: Real Decreto 470/2021 </t>
  </si>
  <si>
    <t>Materiales o elementos con posibilidad de xilófagos</t>
  </si>
  <si>
    <t>Desperfectose relacionados con el desmontaje</t>
  </si>
  <si>
    <t xml:space="preserve">Manchas o desperfectos superficales </t>
  </si>
  <si>
    <t>Estructura mayormente</t>
  </si>
  <si>
    <t>Componentes y materiales</t>
  </si>
  <si>
    <t>Ensayos no destructivos de calidad</t>
  </si>
  <si>
    <t>Contacto con el vendedor (Teléfono)</t>
  </si>
  <si>
    <t>Contacto con el vendedor (Correo electrónico)</t>
  </si>
  <si>
    <t>Contacto con el vendedor (Página web)</t>
  </si>
  <si>
    <t>Vendedor</t>
  </si>
  <si>
    <t>Contacto con el distribuidor (Teléfono)</t>
  </si>
  <si>
    <t>Contacto con el distribuidor (Correo electrónico)</t>
  </si>
  <si>
    <t>Contacto con el distribuidor (Página web)</t>
  </si>
  <si>
    <t>Origen del producto (localización del fabricante)</t>
  </si>
  <si>
    <t>Usos anteriores en referencias catastrales distintas</t>
  </si>
  <si>
    <t>Año de fabricación y/o instalación/es previa/s</t>
  </si>
  <si>
    <r>
      <t xml:space="preserve">Requiere pruebas adicionales  </t>
    </r>
    <r>
      <rPr>
        <sz val="11"/>
        <color theme="4"/>
        <rFont val="Aptos"/>
        <family val="2"/>
      </rPr>
      <t>(si si, abrir documentos de ensayos, si no, no)</t>
    </r>
  </si>
  <si>
    <r>
      <t xml:space="preserve">Documentos de ensayos </t>
    </r>
    <r>
      <rPr>
        <sz val="11"/>
        <color theme="4"/>
        <rFont val="Aptos"/>
        <family val="2"/>
      </rPr>
      <t>(si si, abrir calidad, si no, no)</t>
    </r>
  </si>
  <si>
    <t>NA y foto?</t>
  </si>
  <si>
    <t>Obligatorio</t>
  </si>
  <si>
    <t>Peso del envío</t>
  </si>
  <si>
    <t>Dimensiones del envío</t>
  </si>
  <si>
    <r>
      <t xml:space="preserve">Metálico </t>
    </r>
    <r>
      <rPr>
        <sz val="11"/>
        <color rgb="FFFF0000"/>
        <rFont val="Calibri"/>
        <family val="2"/>
        <scheme val="minor"/>
      </rPr>
      <t>N/A</t>
    </r>
  </si>
  <si>
    <t>17 09 04 – Residuos mixtos de construcción y demolición (NO peligrosos)</t>
  </si>
  <si>
    <t>Resistencia al fuego (Normas: Ensayo; clasificación)</t>
  </si>
  <si>
    <t>Durabilidad (Norma)</t>
  </si>
  <si>
    <t>C5 200.000 ciclos (EN 1191)</t>
  </si>
  <si>
    <t>Marca / Fabricante</t>
  </si>
  <si>
    <t>Marca/Fabricante</t>
  </si>
  <si>
    <t xml:space="preserve"> </t>
  </si>
  <si>
    <t>PAS - Puertas cortafuegos</t>
  </si>
  <si>
    <t>kg, kg/m² o kN/m2</t>
  </si>
  <si>
    <t>P4 - Estructuras</t>
  </si>
  <si>
    <t>P4R - Estructuras de aceros especiales y metales</t>
  </si>
  <si>
    <t>mm, cm, mm2, cm2, m2,...</t>
  </si>
  <si>
    <t>Estructura prefabricada</t>
  </si>
  <si>
    <t>Estructura prefabricada, materiales</t>
  </si>
  <si>
    <t>Estructura de hormigón y madera, materiales</t>
  </si>
  <si>
    <t>Estructura metálica y madera, materiales</t>
  </si>
  <si>
    <t>Estructura metálica, de hormigón y prefabricada</t>
  </si>
  <si>
    <t>Clase resistente</t>
  </si>
  <si>
    <t>Estructura de madera</t>
  </si>
  <si>
    <t>Módulo elástico</t>
  </si>
  <si>
    <t>Pa, N/mm², Mpa</t>
  </si>
  <si>
    <t>Pa, N/mm², MPa</t>
  </si>
  <si>
    <t xml:space="preserve">Estructura </t>
  </si>
  <si>
    <t>Estructura de hormigón y madera</t>
  </si>
  <si>
    <t>Estructura metálica y acero estructural</t>
  </si>
  <si>
    <t>Estructura prefabricada y madera</t>
  </si>
  <si>
    <t>Estructura metálica, madera o prefabricada</t>
  </si>
  <si>
    <t>Algunos componentes</t>
  </si>
  <si>
    <t>Estructura y Elementos</t>
  </si>
  <si>
    <t>Vidrio de seguridad</t>
  </si>
  <si>
    <t>Modificaciones previas</t>
  </si>
  <si>
    <t>17 02 03 Plástico</t>
  </si>
  <si>
    <t>Cubierta/carpa de Lona de PVC con cámara de aire ligeramente presurizada</t>
  </si>
  <si>
    <t>No aplica</t>
  </si>
  <si>
    <t>Translúcido</t>
  </si>
  <si>
    <t>Vidrio / Ventana / muro cortina / lonas</t>
  </si>
  <si>
    <t xml:space="preserve">Reflexión de luz </t>
  </si>
  <si>
    <t>Índice de Reflectancia Solar</t>
  </si>
  <si>
    <t>Temperatura de trabajo / Resistencia al frio - calor</t>
  </si>
  <si>
    <t xml:space="preserve">Elementos </t>
  </si>
  <si>
    <t>Vidrio / Ventana / muro cortina / lonas/ Cubiertas textiles</t>
  </si>
  <si>
    <t xml:space="preserve">	Materiales y elementos flexibles</t>
  </si>
  <si>
    <t>17 04 05 Hierro y acero</t>
  </si>
  <si>
    <t>Estructura y elementos</t>
  </si>
  <si>
    <t>Sistema de accionamiento</t>
  </si>
  <si>
    <t>Caracteristicas del sistema de accionamiento</t>
  </si>
  <si>
    <t>Potencia, tensión, maniobras…</t>
  </si>
  <si>
    <t>Elementos accionados mecánicamente</t>
  </si>
  <si>
    <t>Clase, kPA</t>
  </si>
  <si>
    <t>Clase, L/m2s</t>
  </si>
  <si>
    <t>Aislamiento acústico (Norma)</t>
  </si>
  <si>
    <t>Permeabilidad al aire (Norma)</t>
  </si>
  <si>
    <t>Reacción al fuego (Norma)</t>
  </si>
  <si>
    <t>Resistencia al impacto (Norma)</t>
  </si>
  <si>
    <t xml:space="preserve">Protección UV </t>
  </si>
  <si>
    <t>Punzonamiento (Norma)</t>
  </si>
  <si>
    <t>Resistencia al desgarre (Norma)</t>
  </si>
  <si>
    <t>Resistencia a tracción (Norma)</t>
  </si>
  <si>
    <t>Estanqueidad o resistencia al agua (Norma)</t>
  </si>
  <si>
    <t>Producción Térmica: Bomba de Calor aire-aire</t>
  </si>
  <si>
    <t>Equipos</t>
  </si>
  <si>
    <t>Refrigerante</t>
  </si>
  <si>
    <t>Alimentación</t>
  </si>
  <si>
    <t>V/Hz</t>
  </si>
  <si>
    <t>Tª límite de funcionamiento (calefacción)</t>
  </si>
  <si>
    <t>Tª límite de funcionamiento (refrigeración)</t>
  </si>
  <si>
    <r>
      <rPr>
        <sz val="11"/>
        <color theme="1"/>
        <rFont val="Aptos Narrow"/>
        <family val="2"/>
      </rPr>
      <t>º</t>
    </r>
    <r>
      <rPr>
        <sz val="9.35"/>
        <color theme="1"/>
        <rFont val="Calibri"/>
        <family val="2"/>
      </rPr>
      <t>C</t>
    </r>
  </si>
  <si>
    <t>kW</t>
  </si>
  <si>
    <t>Potencia nominal / máxima (Calefacción)</t>
  </si>
  <si>
    <t>COP / SCOP (Calefacción)</t>
  </si>
  <si>
    <t xml:space="preserve">EER / SEER </t>
  </si>
  <si>
    <t>Potencia nominal / máxima (Refrigeración)</t>
  </si>
  <si>
    <t>Caudal de agua máximo</t>
  </si>
  <si>
    <t>-</t>
  </si>
  <si>
    <t>l/h</t>
  </si>
  <si>
    <t>Volumen mínimo de agua</t>
  </si>
  <si>
    <t>Temperatura máxma ACS</t>
  </si>
  <si>
    <t>dBA</t>
  </si>
  <si>
    <t>COP / SCOP (ACS)</t>
  </si>
  <si>
    <t>Presión acústica (Norma)</t>
  </si>
  <si>
    <t>Intensidad eléctrica nominal</t>
  </si>
  <si>
    <t>A</t>
  </si>
  <si>
    <t xml:space="preserve">16 02 11* Equipos desechados que contienen clorofluorocarbonos, HCFC, HFC.
16 02 13* Equipos desechados que contienen componentes peligrosos [4], distintos de los especificados en los códigos 16 02 09 a 16 02 12.
------
14 06 01* Clorofluorocarbonos, HCFC, HFC.
14 06 02* Otros disolventes y mezclas de disolventes halogenados.
14 06 03* Otros disolventes y mezclas de disolventes.
16 02 15* Componentes peligrosos retirados de equipos desecados.
</t>
  </si>
  <si>
    <t>PE - Instalaciones de climatización, calefacción y ventilación</t>
  </si>
  <si>
    <t>COMSA</t>
  </si>
  <si>
    <t>Código LER</t>
  </si>
  <si>
    <t>Caracterización / Estructura interna</t>
  </si>
  <si>
    <t>Acero y Aislante</t>
  </si>
  <si>
    <t>RF60 (UNE-EN 1634-1; UNE EN 13501-2)</t>
  </si>
  <si>
    <t>Si</t>
  </si>
  <si>
    <t>Uso original</t>
  </si>
  <si>
    <t>Sí</t>
  </si>
  <si>
    <t>Tiempo estimado de uso anterior (en años)</t>
  </si>
  <si>
    <t xml:space="preserve">kg, kg/m² </t>
  </si>
  <si>
    <t xml:space="preserve">Precio elemento actual </t>
  </si>
  <si>
    <t>Precio elemento nuevo (genérico)</t>
  </si>
  <si>
    <t>Vidres Sardenya S.L.</t>
  </si>
  <si>
    <t>BA - Materiales para cerramientos y divisorias practicables</t>
  </si>
  <si>
    <t>Otros</t>
  </si>
  <si>
    <t>PEE - Bombas de calor para aerotermia y geotermia</t>
  </si>
  <si>
    <t>BAV - Persianas, celosias de lamas y protecciones solares</t>
  </si>
  <si>
    <t>17 04 02 Aluminio</t>
  </si>
  <si>
    <t>PC - Acristalamientos</t>
  </si>
  <si>
    <t>PC1 - Vidrios planos</t>
  </si>
  <si>
    <t>Cerramiento de Cristal de Seguridad</t>
  </si>
  <si>
    <t>17 02 02 Vidrio</t>
  </si>
  <si>
    <t>deformaciones</t>
  </si>
  <si>
    <t>Estructural</t>
  </si>
  <si>
    <t>Envolvente</t>
  </si>
  <si>
    <t>HVAC</t>
  </si>
  <si>
    <t>Seguridad</t>
  </si>
  <si>
    <t>Poligono Les Verdunes Borges Blanques S/n25540, Les (Lleida); Passeig Sant Joan, 182 (Barcelona)</t>
  </si>
  <si>
    <t>Envelat Vall S.L.</t>
  </si>
  <si>
    <t>www.comsa.com</t>
  </si>
  <si>
    <t>En uso en el Edificio</t>
  </si>
  <si>
    <t>Protección durante el almacenaje</t>
  </si>
  <si>
    <t>mm, cm, mm2, cm2, m2,…</t>
  </si>
  <si>
    <t>Requerido</t>
  </si>
  <si>
    <t>Ud</t>
  </si>
  <si>
    <t>2 hojas</t>
  </si>
  <si>
    <t xml:space="preserve">Materiales compuestos </t>
  </si>
  <si>
    <t>Hecho a medida</t>
  </si>
  <si>
    <t>No hay</t>
  </si>
  <si>
    <t>Tipo de adecuación necesaria</t>
  </si>
  <si>
    <t>Equipo autónomo Bomba de Calor reversible de construcción compacta tipo roof-top</t>
  </si>
  <si>
    <t>Esta bomba de calor forma parte de un sistema compuesto de 2 Circuitos de frigoríficos, 2 Compresores, y equipos interiores PCA 1720</t>
  </si>
  <si>
    <t>Texto</t>
  </si>
  <si>
    <t>Entero</t>
  </si>
  <si>
    <t>Decimal</t>
  </si>
  <si>
    <t>Pg. De St. Joan, 168, Gracia, Barcelona</t>
  </si>
  <si>
    <t>No existe</t>
  </si>
  <si>
    <t>Permeabilidad o resistencia al viento (Norma)+C26:C41</t>
  </si>
  <si>
    <t>kg/m³</t>
  </si>
  <si>
    <t>Material estructural</t>
  </si>
  <si>
    <t>Peso por superficie</t>
  </si>
  <si>
    <t>kg/m2</t>
  </si>
  <si>
    <t>Posible presencia de sustancias o materiales peligrosos</t>
  </si>
  <si>
    <t>Todos (condicional de la anterior)</t>
  </si>
  <si>
    <t>Material o componente biodegradable</t>
  </si>
  <si>
    <t xml:space="preserve">Tratamiento </t>
  </si>
  <si>
    <t>Tiempo estimado de vida útil restante (en años)</t>
  </si>
  <si>
    <t>#</t>
  </si>
  <si>
    <t>U-Value</t>
  </si>
  <si>
    <t>Thermal conductivity</t>
  </si>
  <si>
    <t>Ventilation &amp; Airthightness</t>
  </si>
  <si>
    <t>Health and safety risks</t>
  </si>
  <si>
    <t>Recycling concepts</t>
  </si>
  <si>
    <t>Recommended retail price per unit</t>
  </si>
  <si>
    <t>Bill of Materials</t>
  </si>
  <si>
    <t>Material principal</t>
  </si>
  <si>
    <t>Marketplace Layer (información transaccional / de plataforma)</t>
  </si>
  <si>
    <t>Número de unidades</t>
  </si>
  <si>
    <t>Transmitancia térmica componente</t>
  </si>
  <si>
    <t>Otros usos</t>
  </si>
  <si>
    <t>Conductividad térmica materiales</t>
  </si>
  <si>
    <t>Densidad materiales</t>
  </si>
  <si>
    <t>Lista de conceptos separados por ";"</t>
  </si>
  <si>
    <t>Revit Exp.</t>
  </si>
  <si>
    <t>mm2, cm2, m2,...</t>
  </si>
  <si>
    <t>Densidad material</t>
  </si>
  <si>
    <t>Rigidez</t>
  </si>
  <si>
    <t>Límite elástico</t>
  </si>
  <si>
    <t>Tipo y grado componente</t>
  </si>
  <si>
    <t xml:space="preserve">Opciones de reciclaje al final de su segunda vida útil </t>
  </si>
  <si>
    <t>Selección: reciclado, valorización material, valorización energética, vertedero</t>
  </si>
  <si>
    <t>Selección: Sí, No</t>
  </si>
  <si>
    <t>Selección: &lt;BEDEC&gt;</t>
  </si>
  <si>
    <t>Selección: &lt;LER: Cap 17&gt;</t>
  </si>
  <si>
    <t>dB, dBA</t>
  </si>
  <si>
    <t>Tipo de entidad</t>
  </si>
  <si>
    <t>Selección: Componente, Material</t>
  </si>
  <si>
    <t>Contamination</t>
  </si>
  <si>
    <t>Toxicity</t>
  </si>
  <si>
    <t>Pintado a pistola a color negro</t>
  </si>
  <si>
    <t>--</t>
  </si>
  <si>
    <t>Tipo</t>
  </si>
  <si>
    <t>H=4000, W=2421, D=25</t>
  </si>
  <si>
    <t>Chapa y marco de acero galvanizado 1.5 mm; Lana de roca de alta densidad; materiales cálcicos laminados 78 mm</t>
  </si>
  <si>
    <t>Pilares SHS Sección estructural hueca (288x114)</t>
  </si>
  <si>
    <t>Pilares de aluminio</t>
  </si>
  <si>
    <t>Selección: en uso en el edificio, almacenado en obra, almacenado en almacén, otro.</t>
  </si>
  <si>
    <t>Huella de carbono estimada ahorrada (si no se da, lo calcula la plataforma)</t>
  </si>
  <si>
    <t>Rectangular Acristalamiento simple</t>
  </si>
  <si>
    <t xml:space="preserve">Aerotermia </t>
  </si>
  <si>
    <t>Carrer del Watt, 4 (Barberà del vallés, Barcelona); Passeig Sant Joan, 182 (Barcelona)</t>
  </si>
  <si>
    <t>Calle sardenya, 151 (Barcelona); Passeig Sant Joan, 182 (Barcelona)</t>
  </si>
  <si>
    <t>Route de Thil, 01120 (Montluel); Passeig Sant Joan, 182 (Barcelona)</t>
  </si>
  <si>
    <t>2018; 2018</t>
  </si>
  <si>
    <t>Selección: Abatible, Corredera, Pivotante, Plegable</t>
  </si>
  <si>
    <t>Abatible</t>
  </si>
  <si>
    <t>Fábrica; Edificio</t>
  </si>
  <si>
    <t>Cerramiento</t>
  </si>
  <si>
    <t>Protección</t>
  </si>
  <si>
    <t>Lamas de acero 80x6, guías laterales, motorizada, cerraduras…</t>
  </si>
  <si>
    <t>Sistema de clasificación</t>
  </si>
  <si>
    <t>Código de clasificación</t>
  </si>
  <si>
    <t>Selección: GuBIMClass (ES), Uniclass2015 (UK), OmniClass (USA), Uniformat (USA), MasterFormat (USA), CoClass (Suecia), CCS (Dinamarca)</t>
  </si>
  <si>
    <t>30.10.20.20</t>
  </si>
  <si>
    <t>GuBIMClass (ES)</t>
  </si>
  <si>
    <t>20.20.10.10</t>
  </si>
  <si>
    <t>80.10.10.60</t>
  </si>
  <si>
    <t>30.10.20.10</t>
  </si>
  <si>
    <t>50.30.10</t>
  </si>
  <si>
    <t>Superficie</t>
  </si>
  <si>
    <t>Volumen</t>
  </si>
  <si>
    <t>Area</t>
  </si>
  <si>
    <t>Volume</t>
  </si>
  <si>
    <t>mm3, cm3, m3,...</t>
  </si>
  <si>
    <t>Cumple con las normativas de seguridad y de construcción vigentes</t>
  </si>
  <si>
    <t>Requiere pruebas adicionales</t>
  </si>
  <si>
    <t>Hay documentos de ensayos</t>
  </si>
  <si>
    <t>Puede ser contaminante</t>
  </si>
  <si>
    <t>Cumple con las normativas vigentes en lo relativo a sustancias peligrosas</t>
  </si>
  <si>
    <t>Dispone de información sobre la composición química o la presencia de aditivos en los materiales</t>
  </si>
  <si>
    <t>Apto para uso original</t>
  </si>
  <si>
    <t>Datos Generales (General Data)</t>
  </si>
  <si>
    <t>Datos específicos (Specific Data)</t>
  </si>
  <si>
    <t>Condición del producto y compatibilidad (Product Condition and Compatibility)</t>
  </si>
  <si>
    <t>Seguridad y salud (Health and Safety)</t>
  </si>
  <si>
    <t>Calidad (Quality)</t>
  </si>
  <si>
    <t>Impacto Ambiental y Beneficios de Reutilización (Environmental Impact and Benefits of Reuse)</t>
  </si>
  <si>
    <t>Disponibilidad (Availability)</t>
  </si>
  <si>
    <t>Condiciones de Transporte y Almacenamiento (Transportation and storage Conditions)</t>
  </si>
  <si>
    <t>Contacto y distribución (Contact and distribution)</t>
  </si>
  <si>
    <t>Estado y Procedencia (trazabilidad) (Condition and provenance (Traceability))</t>
  </si>
  <si>
    <t>Idoneidad para la reutilización (Suitability for reuse)</t>
  </si>
  <si>
    <t>Documentación técnica de primer uso (First-use technical documentation)</t>
  </si>
  <si>
    <t>Condiciones de Transporte y Almacenamiento (Transportation and storage conditions)</t>
  </si>
  <si>
    <t>E</t>
  </si>
  <si>
    <t>S</t>
  </si>
  <si>
    <t>Product name</t>
  </si>
  <si>
    <t>A2</t>
  </si>
  <si>
    <t>E2</t>
  </si>
  <si>
    <t>S1</t>
  </si>
  <si>
    <t>A4</t>
  </si>
  <si>
    <t>S3</t>
  </si>
  <si>
    <t>Brand name; Manufacturers name</t>
  </si>
  <si>
    <t>Products main function</t>
  </si>
  <si>
    <t>E1</t>
  </si>
  <si>
    <t>BIM Object</t>
  </si>
  <si>
    <t>E3</t>
  </si>
  <si>
    <t>Potential incomes depending on reuse scenarios</t>
  </si>
  <si>
    <t>Categoría (category)</t>
  </si>
  <si>
    <t>Data</t>
  </si>
  <si>
    <t>Valores (values)</t>
  </si>
  <si>
    <t>Puertas contraincendios (Fire doors)</t>
  </si>
  <si>
    <t>Pilares de aluminio (Metal structure pillar)</t>
  </si>
  <si>
    <t>Vídrios (Glasses)</t>
  </si>
  <si>
    <t>Lonas (Tarpaulins)</t>
  </si>
  <si>
    <t>Bomba de calor (Heat pumps)</t>
  </si>
  <si>
    <t>Persianas (Steel roll-up shutters)</t>
  </si>
  <si>
    <t>Nombre parametro (parameter name)</t>
  </si>
  <si>
    <t>Unidades (Units)</t>
  </si>
  <si>
    <t>Tipo de dato (data type)</t>
  </si>
  <si>
    <t>Aplica (Applies)</t>
  </si>
  <si>
    <t>A3</t>
  </si>
  <si>
    <t>S2</t>
  </si>
  <si>
    <t>Mapping or relation with BAMB parameters</t>
  </si>
  <si>
    <t>Name of BAMB parameter</t>
  </si>
  <si>
    <t>Dirección física</t>
  </si>
  <si>
    <t xml:space="preserve">A1 </t>
  </si>
  <si>
    <t>Colour</t>
  </si>
  <si>
    <t>Dimensions and weight</t>
  </si>
  <si>
    <t>Density</t>
  </si>
  <si>
    <t xml:space="preserve">Fire resistance </t>
  </si>
  <si>
    <t xml:space="preserve">Acoustics </t>
  </si>
  <si>
    <t>Historial de direcciones físicas por cada ubicación</t>
  </si>
  <si>
    <t>Historial de años por cada ubicación</t>
  </si>
  <si>
    <t>Historial de  tipos de ubicación por cada ubicación</t>
  </si>
  <si>
    <t>URL</t>
  </si>
  <si>
    <t>Storage requirements</t>
  </si>
  <si>
    <t>Identificador único</t>
  </si>
  <si>
    <t>Yes</t>
  </si>
  <si>
    <t>https://buildinglegacy.app/id/component/42</t>
  </si>
  <si>
    <t>Health and Safety requirements</t>
  </si>
  <si>
    <t>Decomposability</t>
  </si>
  <si>
    <t>Product picture</t>
  </si>
  <si>
    <t>(Provided)</t>
  </si>
  <si>
    <t>Recycling and Reuse potential</t>
  </si>
  <si>
    <t>Precio (price)</t>
  </si>
  <si>
    <t>Maintenance</t>
  </si>
  <si>
    <t>Desgaste visible</t>
  </si>
  <si>
    <t>Match</t>
  </si>
  <si>
    <t>Exact</t>
  </si>
  <si>
    <t>Mandatory</t>
  </si>
  <si>
    <t>Partial</t>
  </si>
  <si>
    <t>Lifespans and durability</t>
  </si>
  <si>
    <t>No Match</t>
  </si>
  <si>
    <t>Structure</t>
  </si>
  <si>
    <t>mm; cm; m;</t>
  </si>
  <si>
    <t>Material Safety Data Sheet</t>
  </si>
  <si>
    <t>Bill of Materials, Componentn purity</t>
  </si>
  <si>
    <t>Ficheros asociados a los documentos de cumplimiento de normativa</t>
  </si>
  <si>
    <t>Ficheros asociados a los documentos de ensayos no destructivos de los materiales o componentes</t>
  </si>
  <si>
    <t>Ficheros asociados a los documentos de información sobre la composición química o aditivos</t>
  </si>
  <si>
    <t>Lista de ficheros</t>
  </si>
  <si>
    <t>Fichero BIM</t>
  </si>
  <si>
    <t>Fichero BIM en formato IFC</t>
  </si>
  <si>
    <t>Aditives, Chemical composition, Component purity</t>
  </si>
  <si>
    <t>Technical drawings</t>
  </si>
  <si>
    <t>Documentos gráficos disponibles</t>
  </si>
  <si>
    <t>Imagen del componente disponible</t>
  </si>
  <si>
    <t>Fichero de imagen del componente</t>
  </si>
  <si>
    <t>BIM disponible</t>
  </si>
  <si>
    <t>Ficheros de documentos gráficos</t>
  </si>
  <si>
    <t>Ficheros gráficos (dwg, dxf, …)</t>
  </si>
  <si>
    <t>Fichero de imagen (jpg, png, …)</t>
  </si>
  <si>
    <t>yes</t>
  </si>
  <si>
    <t>Requerido (requested)</t>
  </si>
  <si>
    <t>Surface</t>
  </si>
  <si>
    <t>Area; Volume</t>
  </si>
  <si>
    <t xml:space="preserve">Posible presencia de sustancias que ponen en riesgo la salud humana </t>
  </si>
  <si>
    <t>Toxicity, Health and safety, Legislation and policy: REACH</t>
  </si>
  <si>
    <r>
      <t>Legislation and policy: Substances of Very High Concern, Legislation and policy:</t>
    </r>
    <r>
      <rPr>
        <sz val="11"/>
        <color rgb="FFFF0000"/>
        <rFont val="Calibri"/>
        <family val="2"/>
        <scheme val="minor"/>
      </rPr>
      <t xml:space="preserve"> Carcinogenic Mutagen Reprotoxic</t>
    </r>
  </si>
  <si>
    <t>Material Safety Data Sheet, Compressive strenght…</t>
  </si>
  <si>
    <t>Resistance</t>
  </si>
  <si>
    <t>Fire resistance</t>
  </si>
  <si>
    <t>Stability</t>
  </si>
  <si>
    <t>Documentos de ensayos</t>
  </si>
  <si>
    <t>Resistance and stability</t>
  </si>
  <si>
    <t>Resistance and stability; Compressive strength; Load bearing; Stability; Resistance</t>
  </si>
  <si>
    <t>Resistance and stability; Resistance</t>
  </si>
  <si>
    <t>Acciones de mantenimiento a realizar</t>
  </si>
  <si>
    <t>Maintenance; Cleaning and maintenance instructions</t>
  </si>
  <si>
    <t>Transmission</t>
  </si>
  <si>
    <t>Transparency</t>
  </si>
  <si>
    <t>Reflectivity</t>
  </si>
  <si>
    <t>U-value</t>
  </si>
  <si>
    <t>Legislation and policy: REACH, Legislation and policy: Substances of Very High Concern, Legislation and policy: Carcinogenic Mutagen Reprotoxic</t>
  </si>
  <si>
    <t>3726 m2</t>
  </si>
  <si>
    <t>31 dB (con burlete) o 32 db (con umbral inferior)</t>
  </si>
  <si>
    <t>[H=1800; W=2070; D=1.5]; [H=1800; W=2070;D=1.5]; [H=1800; W=2070; D=78] mm</t>
  </si>
  <si>
    <t>H=21000; W=89000; D=6000 mm</t>
  </si>
  <si>
    <t>11214 m3</t>
  </si>
  <si>
    <t>500 m3</t>
  </si>
  <si>
    <t>H=21000; W=89000</t>
  </si>
  <si>
    <t>1869 m2</t>
  </si>
  <si>
    <t>1095 Kg</t>
  </si>
  <si>
    <t>11661 m3</t>
  </si>
  <si>
    <t>H=2750; W=2115; D=2005</t>
  </si>
  <si>
    <t>h=4000; W=2900</t>
  </si>
  <si>
    <t>111600 m3</t>
  </si>
  <si>
    <t>https://buildinglegacy.app/id/component/43</t>
  </si>
  <si>
    <t>https://buildinglegacy.app/id/component/44</t>
  </si>
  <si>
    <t>https://buildinglegacy.app/id/component/45</t>
  </si>
  <si>
    <t>https://buildinglegacy.app/id/component/46</t>
  </si>
  <si>
    <t>https://buildinglegacy.app/id/component/47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</si>
</sst>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ptos"/>
      <family val="2"/>
    </font>
    <font>
      <i/>
      <sz val="11"/>
      <color rgb="FFFF0000"/>
      <name val="Calibri"/>
      <family val="2"/>
      <scheme val="minor"/>
    </font>
    <font>
      <i/>
      <sz val="11"/>
      <color rgb="FFFF0000"/>
      <name val="Aptos"/>
      <family val="2"/>
    </font>
    <font>
      <sz val="11"/>
      <color rgb="FFC00000"/>
      <name val="Calibri"/>
      <family val="2"/>
      <scheme val="minor"/>
    </font>
    <font>
      <sz val="11"/>
      <name val="Aptos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Aptos"/>
      <family val="2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4"/>
      <name val="Aptos"/>
      <family val="2"/>
    </font>
    <font>
      <sz val="11"/>
      <color theme="1"/>
      <name val="Aptos Narrow"/>
      <family val="2"/>
    </font>
    <font>
      <sz val="9.35"/>
      <color theme="1"/>
      <name val="Calibri"/>
      <family val="2"/>
    </font>
    <font>
      <strike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7030A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6" borderId="3" xfId="0" applyFill="1" applyBorder="1"/>
    <xf numFmtId="0" fontId="0" fillId="6" borderId="0" xfId="0" applyFill="1"/>
    <xf numFmtId="0" fontId="3" fillId="0" borderId="0" xfId="0" applyFont="1"/>
    <xf numFmtId="0" fontId="4" fillId="0" borderId="0" xfId="0" applyFont="1"/>
    <xf numFmtId="0" fontId="0" fillId="3" borderId="3" xfId="0" applyFill="1" applyBorder="1"/>
    <xf numFmtId="0" fontId="1" fillId="2" borderId="1" xfId="0" applyFont="1" applyFill="1" applyBorder="1"/>
    <xf numFmtId="0" fontId="0" fillId="2" borderId="2" xfId="0" applyFill="1" applyBorder="1"/>
    <xf numFmtId="0" fontId="1" fillId="3" borderId="0" xfId="0" applyFont="1" applyFill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6" fillId="0" borderId="0" xfId="0" applyFont="1"/>
    <xf numFmtId="0" fontId="2" fillId="6" borderId="3" xfId="0" applyFont="1" applyFill="1" applyBorder="1"/>
    <xf numFmtId="0" fontId="8" fillId="0" borderId="0" xfId="0" applyFont="1"/>
    <xf numFmtId="0" fontId="9" fillId="0" borderId="0" xfId="0" applyFont="1"/>
    <xf numFmtId="0" fontId="0" fillId="5" borderId="1" xfId="0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7" borderId="3" xfId="0" applyFill="1" applyBorder="1" applyAlignment="1">
      <alignment horizontal="left"/>
    </xf>
    <xf numFmtId="0" fontId="7" fillId="0" borderId="3" xfId="1" applyBorder="1" applyAlignment="1">
      <alignment horizontal="left"/>
    </xf>
    <xf numFmtId="0" fontId="0" fillId="0" borderId="4" xfId="0" applyBorder="1" applyAlignment="1">
      <alignment horizontal="left"/>
    </xf>
    <xf numFmtId="0" fontId="10" fillId="0" borderId="0" xfId="0" applyFont="1"/>
    <xf numFmtId="0" fontId="0" fillId="0" borderId="0" xfId="0" applyAlignment="1">
      <alignment vertical="center"/>
    </xf>
    <xf numFmtId="0" fontId="8" fillId="0" borderId="3" xfId="0" applyFont="1" applyBorder="1" applyAlignment="1">
      <alignment horizontal="left" wrapText="1"/>
    </xf>
    <xf numFmtId="0" fontId="0" fillId="8" borderId="0" xfId="0" applyFill="1"/>
    <xf numFmtId="0" fontId="0" fillId="8" borderId="3" xfId="0" applyFill="1" applyBorder="1" applyAlignment="1">
      <alignment horizontal="left"/>
    </xf>
    <xf numFmtId="0" fontId="2" fillId="8" borderId="0" xfId="0" applyFont="1" applyFill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6" fillId="3" borderId="0" xfId="0" applyFont="1" applyFill="1"/>
    <xf numFmtId="0" fontId="2" fillId="0" borderId="0" xfId="0" applyFont="1" applyAlignment="1">
      <alignment vertical="center"/>
    </xf>
    <xf numFmtId="0" fontId="12" fillId="0" borderId="0" xfId="0" applyFont="1"/>
    <xf numFmtId="0" fontId="11" fillId="0" borderId="0" xfId="0" applyFont="1"/>
    <xf numFmtId="0" fontId="2" fillId="9" borderId="0" xfId="0" applyFont="1" applyFill="1"/>
    <xf numFmtId="0" fontId="1" fillId="4" borderId="6" xfId="0" applyFont="1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6" xfId="1" applyFill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6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7" fillId="0" borderId="6" xfId="1" applyBorder="1" applyAlignment="1">
      <alignment horizontal="left"/>
    </xf>
    <xf numFmtId="2" fontId="0" fillId="0" borderId="6" xfId="0" applyNumberForma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7" fillId="0" borderId="3" xfId="1" applyFill="1" applyBorder="1" applyAlignment="1">
      <alignment horizontal="left"/>
    </xf>
    <xf numFmtId="0" fontId="10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/>
    </xf>
    <xf numFmtId="0" fontId="0" fillId="11" borderId="0" xfId="0" applyFill="1"/>
    <xf numFmtId="0" fontId="16" fillId="0" borderId="0" xfId="0" applyFont="1" applyAlignment="1">
      <alignment horizontal="left"/>
    </xf>
    <xf numFmtId="0" fontId="17" fillId="2" borderId="0" xfId="0" applyFont="1" applyFill="1"/>
    <xf numFmtId="0" fontId="17" fillId="2" borderId="0" xfId="0" applyFont="1" applyFill="1" applyAlignment="1">
      <alignment horizontal="center"/>
    </xf>
    <xf numFmtId="0" fontId="1" fillId="5" borderId="7" xfId="0" applyFont="1" applyFill="1" applyBorder="1" applyAlignment="1">
      <alignment horizontal="left"/>
    </xf>
    <xf numFmtId="0" fontId="0" fillId="13" borderId="3" xfId="0" applyFill="1" applyBorder="1"/>
    <xf numFmtId="0" fontId="6" fillId="13" borderId="0" xfId="0" applyFont="1" applyFill="1"/>
    <xf numFmtId="0" fontId="0" fillId="13" borderId="0" xfId="0" applyFill="1"/>
    <xf numFmtId="0" fontId="2" fillId="13" borderId="0" xfId="0" applyFont="1" applyFill="1"/>
    <xf numFmtId="3" fontId="0" fillId="0" borderId="6" xfId="0" applyNumberFormat="1" applyBorder="1" applyAlignment="1">
      <alignment horizontal="left"/>
    </xf>
    <xf numFmtId="0" fontId="10" fillId="0" borderId="0" xfId="0" applyFont="1" applyAlignment="1">
      <alignment vertical="center"/>
    </xf>
    <xf numFmtId="0" fontId="0" fillId="0" borderId="6" xfId="0" applyBorder="1"/>
    <xf numFmtId="0" fontId="0" fillId="12" borderId="0" xfId="0" applyFill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/>
    <xf numFmtId="0" fontId="20" fillId="0" borderId="0" xfId="0" applyFont="1"/>
    <xf numFmtId="0" fontId="0" fillId="12" borderId="1" xfId="0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10" xfId="1" applyFill="1" applyBorder="1" applyAlignment="1">
      <alignment horizontal="left"/>
    </xf>
    <xf numFmtId="0" fontId="17" fillId="0" borderId="0" xfId="0" applyFont="1"/>
    <xf numFmtId="0" fontId="0" fillId="10" borderId="3" xfId="0" applyFill="1" applyBorder="1" applyAlignment="1">
      <alignment horizontal="center"/>
    </xf>
    <xf numFmtId="0" fontId="0" fillId="10" borderId="0" xfId="0" applyFill="1"/>
    <xf numFmtId="0" fontId="0" fillId="10" borderId="3" xfId="0" applyFill="1" applyBorder="1"/>
    <xf numFmtId="0" fontId="0" fillId="10" borderId="6" xfId="0" applyFill="1" applyBorder="1" applyAlignment="1">
      <alignment horizontal="left"/>
    </xf>
    <xf numFmtId="0" fontId="0" fillId="14" borderId="3" xfId="0" applyFill="1" applyBorder="1" applyAlignment="1">
      <alignment horizontal="center"/>
    </xf>
    <xf numFmtId="0" fontId="0" fillId="14" borderId="0" xfId="0" applyFill="1"/>
    <xf numFmtId="0" fontId="0" fillId="14" borderId="3" xfId="0" applyFill="1" applyBorder="1"/>
    <xf numFmtId="0" fontId="2" fillId="14" borderId="0" xfId="0" applyFont="1" applyFill="1"/>
    <xf numFmtId="0" fontId="20" fillId="14" borderId="0" xfId="0" applyFont="1" applyFill="1"/>
    <xf numFmtId="0" fontId="21" fillId="14" borderId="0" xfId="0" applyFont="1" applyFill="1" applyAlignment="1">
      <alignment vertical="center" wrapText="1"/>
    </xf>
    <xf numFmtId="0" fontId="21" fillId="14" borderId="0" xfId="0" applyFont="1" applyFill="1" applyAlignment="1">
      <alignment vertical="center"/>
    </xf>
    <xf numFmtId="0" fontId="0" fillId="14" borderId="4" xfId="0" applyFill="1" applyBorder="1" applyAlignment="1">
      <alignment horizontal="center"/>
    </xf>
    <xf numFmtId="0" fontId="0" fillId="14" borderId="5" xfId="0" applyFill="1" applyBorder="1"/>
    <xf numFmtId="0" fontId="0" fillId="14" borderId="4" xfId="0" applyFill="1" applyBorder="1"/>
    <xf numFmtId="0" fontId="2" fillId="14" borderId="5" xfId="0" applyFont="1" applyFill="1" applyBorder="1"/>
    <xf numFmtId="0" fontId="0" fillId="3" borderId="3" xfId="0" applyFill="1" applyBorder="1" applyAlignment="1">
      <alignment horizontal="center"/>
    </xf>
    <xf numFmtId="0" fontId="2" fillId="3" borderId="3" xfId="0" applyFont="1" applyFill="1" applyBorder="1"/>
    <xf numFmtId="0" fontId="10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14" borderId="0" xfId="0" applyFill="1" applyAlignment="1">
      <alignment horizontal="center"/>
    </xf>
    <xf numFmtId="0" fontId="22" fillId="14" borderId="0" xfId="0" applyFont="1" applyFill="1"/>
    <xf numFmtId="0" fontId="19" fillId="14" borderId="0" xfId="0" applyFont="1" applyFill="1"/>
    <xf numFmtId="0" fontId="0" fillId="14" borderId="0" xfId="0" applyFill="1" applyAlignment="1">
      <alignment vertical="center"/>
    </xf>
    <xf numFmtId="0" fontId="10" fillId="3" borderId="6" xfId="0" applyFont="1" applyFill="1" applyBorder="1" applyAlignment="1">
      <alignment horizontal="left"/>
    </xf>
    <xf numFmtId="0" fontId="7" fillId="0" borderId="4" xfId="1" applyFill="1" applyBorder="1" applyAlignment="1">
      <alignment horizontal="left"/>
    </xf>
    <xf numFmtId="0" fontId="22" fillId="0" borderId="0" xfId="0" applyFont="1"/>
    <xf numFmtId="0" fontId="10" fillId="3" borderId="3" xfId="0" applyFont="1" applyFill="1" applyBorder="1"/>
    <xf numFmtId="0" fontId="17" fillId="2" borderId="0" xfId="0" applyFont="1" applyFill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2" borderId="8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1" fillId="14" borderId="3" xfId="0" applyFont="1" applyFill="1" applyBorder="1" applyAlignment="1">
      <alignment vertical="center" wrapText="1"/>
    </xf>
    <xf numFmtId="0" fontId="21" fillId="14" borderId="3" xfId="0" applyFont="1" applyFill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3" xfId="0" quotePrefix="1" applyFont="1" applyBorder="1"/>
    <xf numFmtId="0" fontId="10" fillId="0" borderId="0" xfId="0" quotePrefix="1" applyFont="1"/>
    <xf numFmtId="0" fontId="10" fillId="14" borderId="3" xfId="0" quotePrefix="1" applyFont="1" applyFill="1" applyBorder="1"/>
    <xf numFmtId="0" fontId="10" fillId="14" borderId="0" xfId="0" quotePrefix="1" applyFont="1" applyFill="1"/>
    <xf numFmtId="0" fontId="8" fillId="0" borderId="3" xfId="0" applyFont="1" applyBorder="1"/>
    <xf numFmtId="0" fontId="10" fillId="0" borderId="0" xfId="0" applyFont="1" applyAlignment="1">
      <alignment horizontal="center" vertical="center" wrapText="1"/>
    </xf>
    <xf numFmtId="0" fontId="2" fillId="10" borderId="3" xfId="0" applyFont="1" applyFill="1" applyBorder="1"/>
    <xf numFmtId="0" fontId="0" fillId="11" borderId="3" xfId="0" applyFill="1" applyBorder="1" applyAlignment="1">
      <alignment horizontal="center"/>
    </xf>
    <xf numFmtId="0" fontId="0" fillId="11" borderId="3" xfId="0" applyFill="1" applyBorder="1"/>
    <xf numFmtId="0" fontId="2" fillId="11" borderId="0" xfId="0" applyFont="1" applyFill="1"/>
    <xf numFmtId="0" fontId="0" fillId="11" borderId="6" xfId="0" applyFill="1" applyBorder="1" applyAlignment="1">
      <alignment horizontal="left"/>
    </xf>
    <xf numFmtId="0" fontId="0" fillId="0" borderId="0" xfId="0" applyAlignment="1">
      <alignment vertical="center" wrapText="1"/>
    </xf>
    <xf numFmtId="0" fontId="10" fillId="10" borderId="0" xfId="0" applyFont="1" applyFill="1"/>
    <xf numFmtId="0" fontId="0" fillId="15" borderId="8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10" fillId="10" borderId="8" xfId="0" applyFont="1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10" fillId="16" borderId="8" xfId="0" quotePrefix="1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15" borderId="8" xfId="0" applyFont="1" applyFill="1" applyBorder="1" applyAlignment="1">
      <alignment horizontal="center"/>
    </xf>
    <xf numFmtId="0" fontId="10" fillId="0" borderId="3" xfId="0" applyFont="1" applyBorder="1"/>
    <xf numFmtId="0" fontId="23" fillId="11" borderId="8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0" fillId="11" borderId="8" xfId="0" applyFont="1" applyFill="1" applyBorder="1" applyAlignment="1">
      <alignment horizontal="center"/>
    </xf>
    <xf numFmtId="0" fontId="18" fillId="12" borderId="0" xfId="0" applyFont="1" applyFill="1" applyAlignment="1">
      <alignment horizontal="center"/>
    </xf>
    <xf numFmtId="0" fontId="17" fillId="2" borderId="0" xfId="0" applyFont="1" applyFill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17" fillId="2" borderId="2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 wrapText="1"/>
    </xf>
    <xf numFmtId="0" fontId="18" fillId="12" borderId="2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nçal Costa Jutglar" id="{239F04F7-5ECE-4428-8B13-7D971BEE1789}" userId="S::goncal.costa@salle.url.edu::6797cb72-3b2b-459a-8e10-e4ca62e18770" providerId="AD"/>
  <person displayName="Adirane Calvo Martínez" id="{2CE2937A-81C0-4314-8684-68D1D6FBD53D}" userId="S::adirane.calvo@salle.url.edu::6d70f63b-84f9-4967-927b-7128e361e088" providerId="AD"/>
  <person displayName="markel" id="{FEDEADA1-78D9-4CA4-927E-9B9CCC48CC6E}" userId="S::markel_holon.cat#ext#@lasalleuniversities.onmicrosoft.com::2f69dec8-ef34-4979-857d-e1fa9b960d17" providerId="AD"/>
  <person displayName="Roc Jansà" id="{2C8A699C-013D-4008-9FF4-4680C5BB3CB5}" userId="S::roc.jansa_ineditinnovacio.onmicrosoft.com#ext#@lasalleuniversities.onmicrosoft.com::ac086aa8-fb06-47de-a8a9-1baeeeafbdb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04-02T12:46:39.61" personId="{FEDEADA1-78D9-4CA4-927E-9B9CCC48CC6E}" id="{AF2408B8-9556-457B-8E26-6DADF004A396}">
    <text xml:space="preserve">he revisado el listado. Me parece bien y completo (sin ser yo un experto). 
Os rebotaría la pregunta de:
¿Cuál es la información mínima que necesitaríamos para poder cuadrar una interconexión entre comprador y ofertante?
Es posible que en la oferta no necesitáramos más que información esencial como: foto, nombre-familia-marca, categoría, dimensiones, cantidas disponible, fecha de disponibilidad, localización....
</text>
  </threadedComment>
  <threadedComment ref="C11" dT="2025-03-28T18:05:16.05" personId="{239F04F7-5ECE-4428-8B13-7D971BEE1789}" id="{3C159A77-3EE0-461D-A090-5B90BE9C161A}">
    <text>No sé si este valor tiene que ir aquí o a parte</text>
  </threadedComment>
  <threadedComment ref="C13" dT="2025-04-03T06:39:26.38" personId="{2C8A699C-013D-4008-9FF4-4680C5BB3CB5}" id="{BE469F34-2582-4A8F-9846-3A9C275FCF0A}">
    <text>En el caso que haya más de un material para un elemento, añadir % en peso de cada material presente</text>
  </threadedComment>
  <threadedComment ref="C13" dT="2025-05-27T07:11:39.60" personId="{2CE2937A-81C0-4314-8684-68D1D6FBD53D}" id="{9D7492BF-E796-40F2-94FA-489C41F756B6}" parentId="{BE469F34-2582-4A8F-9846-3A9C275FCF0A}">
    <text>No confundir formato con materiales de cada componente</text>
  </threadedComment>
  <threadedComment ref="C19" dT="2025-05-27T11:24:10.87" personId="{2CE2937A-81C0-4314-8684-68D1D6FBD53D}" id="{60983DC2-6B50-4965-B267-654E0DE0DC4F}">
    <text>Redundante usos abajo del todo</text>
  </threadedComment>
  <threadedComment ref="F20" dT="2025-05-27T07:17:31.93" personId="{2CE2937A-81C0-4314-8684-68D1D6FBD53D}" id="{2E5E0034-095C-4066-8A53-A269483BA009}">
    <text>Ejemplos en función de si la puerta es de un solo material (lo dudo) o si es mixto y moderna (ya no se utilizan materiales peligrosos) o antigua (se utilizaba algún material peligroso).</text>
  </threadedComment>
  <threadedComment ref="C22" dT="2025-05-27T07:26:50.47" personId="{2CE2937A-81C0-4314-8684-68D1D6FBD53D}" id="{C437B20D-1610-4B85-9DA9-43C33C1A3E48}">
    <text>Ejemplos: 
Material &gt; Ladrillo: Perforado y aligerado
Elemento &gt; Ventana: Marco multicámara (3 cámaras) de PVC con acristalamiento (4/16/4) LOW-E y lámina de control solar
Elemento &gt; Viga: IPE, IPN,...</text>
  </threadedComment>
  <threadedComment ref="C23" dT="2025-05-27T07:21:20.84" personId="{2CE2937A-81C0-4314-8684-68D1D6FBD53D}" id="{C0D9E765-E6F3-48D1-BADF-67A9E9803EEB}">
    <text>Composición del material o del elemento</text>
  </threadedComment>
  <threadedComment ref="C28" dT="2025-05-27T07:22:53.75" personId="{2CE2937A-81C0-4314-8684-68D1D6FBD53D}" id="{54B55A9E-4803-4AA0-B8A7-874E7B5F9300}">
    <text>REPETIDO &gt; Ver específicos</text>
  </threadedComment>
  <threadedComment ref="C29" dT="2025-05-27T07:23:05.80" personId="{2CE2937A-81C0-4314-8684-68D1D6FBD53D}" id="{6C8386A4-387A-4D37-9555-B301A5F67DC4}">
    <text>REPETIDO &gt; Ver específicos</text>
  </threadedComment>
  <threadedComment ref="C30" dT="2025-05-27T07:32:34.81" personId="{2CE2937A-81C0-4314-8684-68D1D6FBD53D}" id="{D4EFE525-A3B3-403A-AAB6-2EC678010B89}">
    <text>Si no lo tenemos --&gt; Volumen (dimensiones) x Densidad (tablas de materiales genéricos o específica) = PESO</text>
  </threadedComment>
  <threadedComment ref="C30" dT="2025-05-27T07:33:06.14" personId="{2CE2937A-81C0-4314-8684-68D1D6FBD53D}" id="{732E9E56-A9CF-4E8A-B03B-7280A8C77320}" parentId="{D4EFE525-A3B3-403A-AAB6-2EC678010B89}">
    <text>Ha de ser la suma del peso de sus materiales en elementos o materiales mixtos.</text>
  </threadedComment>
  <threadedComment ref="C51" dT="2025-05-27T07:48:14.02" personId="{2CE2937A-81C0-4314-8684-68D1D6FBD53D}" id="{FA621D09-E209-4972-B2F3-1C30488D9B3A}">
    <text>Similar a g &gt; Americano</text>
  </threadedComment>
  <threadedComment ref="C73" dT="2025-05-27T11:00:06.28" personId="{2CE2937A-81C0-4314-8684-68D1D6FBD53D}" id="{71D570F6-ECB1-40E5-BC38-40E8A86B92FB}">
    <text>Fuera - es gestión… que hace aquí?</text>
  </threadedComment>
  <threadedComment ref="C74" dT="2025-05-27T11:00:32.94" personId="{2CE2937A-81C0-4314-8684-68D1D6FBD53D}" id="{DB3C076C-4B1F-46D8-88D1-43AB4226A011}">
    <text>Esta en datos… si hay datos de ficha tecnica tiene que venir conforme a la norma: Redundante.</text>
  </threadedComment>
  <threadedComment ref="C75" dT="2025-05-27T11:00:42.16" personId="{2CE2937A-81C0-4314-8684-68D1D6FBD53D}" id="{1260BE4B-FF7D-4A3A-B312-A6ACA3786236}">
    <text>IDEM al anterior</text>
  </threadedComment>
  <threadedComment ref="C77" dT="2025-05-27T11:01:24.89" personId="{2CE2937A-81C0-4314-8684-68D1D6FBD53D}" id="{280236A9-EEA1-44A9-8A11-1373991F0E47}">
    <text xml:space="preserve">Eliminar: Redundante con marca </text>
  </threadedComment>
  <threadedComment ref="C82" dT="2025-05-27T11:01:52.81" personId="{2CE2937A-81C0-4314-8684-68D1D6FBD53D}" id="{3176ECC9-95AF-48A0-A648-7437E2C1F8B4}">
    <text>A elegir de un listado???</text>
  </threadedComment>
  <threadedComment ref="C87" dT="2025-05-27T11:05:16.27" personId="{2CE2937A-81C0-4314-8684-68D1D6FBD53D}" id="{EBDEC8AE-F77E-48CB-B56A-F704ECE6F3DB}">
    <text>Si ponemos del edificio del que viene es redundante con la información catastral</text>
  </threadedComment>
  <threadedComment ref="D99" dT="2025-05-27T11:06:51.14" personId="{2CE2937A-81C0-4314-8684-68D1D6FBD53D}" id="{3E14F339-434B-4F29-A4CF-16619AA1CCC9}">
    <text>Para mi es NA - No va en euros hasta que no encuentres quien lo adecúe</text>
  </threadedComment>
  <threadedComment ref="C109" dT="2025-05-27T10:59:46.52" personId="{2CE2937A-81C0-4314-8684-68D1D6FBD53D}" id="{5B58FA65-7244-45A6-B4DC-0BEC62AA5CDC}">
    <text>No se debería vender. La prueba es de comprobación...</text>
  </threadedComment>
  <threadedComment ref="C116" dT="2025-05-27T11:09:39.35" personId="{2CE2937A-81C0-4314-8684-68D1D6FBD53D}" id="{FBB9935D-7E5D-4E6D-BE0D-C234C0DF1B3B}">
    <text>Redundante con referencia catastral</text>
  </threadedComment>
  <threadedComment ref="C116" dT="2025-05-27T11:10:23.94" personId="{2CE2937A-81C0-4314-8684-68D1D6FBD53D}" id="{CCEA4C49-B14D-49A0-8144-A5A5C44CA327}" parentId="{FBB9935D-7E5D-4E6D-BE0D-C234C0DF1B3B}">
    <text>Quizas pondria algo asi como en almacen? Y que si esta en almacen la referencia sea la del almacén y si marcan no pues sea la del edificio….</text>
  </threadedComment>
  <threadedComment ref="C124" dT="2025-04-03T06:43:07.64" personId="{2C8A699C-013D-4008-9FF4-4680C5BB3CB5}" id="{1D55EC7A-1CD5-49FD-812A-DF1FB6726510}">
    <text>Añadir Unidad Funcional (UF) del impacto (tCO2eq/UF) la UF puede ser m2, kg, 1 unidad, etc...</text>
  </threadedComment>
  <threadedComment ref="C124" dT="2025-05-27T11:30:24.30" personId="{2CE2937A-81C0-4314-8684-68D1D6FBD53D}" id="{09B56D58-974A-4040-94B2-80AFC8C7E63C}" parentId="{1D55EC7A-1CD5-49FD-812A-DF1FB6726510}">
    <text>ESTO ES OUTPUT</text>
  </threadedComment>
  <threadedComment ref="C126" dT="2025-05-27T11:11:13.60" personId="{2CE2937A-81C0-4314-8684-68D1D6FBD53D}" id="{4816B7BD-4187-4D72-AE47-C9D5B156EFD8}">
    <text>Redundante - Ya esta arriba el peso el % y demás...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42" dT="2026-03-24T09:00:47.42" personId="{239F04F7-5ECE-4428-8B13-7D971BEE1789}" id="{A83695D5-025E-4745-B6F6-EDB7ED10EFBE}">
    <text>¿Reacción o resistencia?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fatorres@alfatorres.es" TargetMode="External"/><Relationship Id="rId1" Type="http://schemas.openxmlformats.org/officeDocument/2006/relationships/hyperlink" Target="https://www.alfatorres.es/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uildinglegacy.app/id/component/42" TargetMode="External"/><Relationship Id="rId1" Type="http://schemas.openxmlformats.org/officeDocument/2006/relationships/hyperlink" Target="http://www.comsa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buildinglegacy.app/id/component/43" TargetMode="External"/><Relationship Id="rId1" Type="http://schemas.openxmlformats.org/officeDocument/2006/relationships/hyperlink" Target="http://www.comsa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buildinglegacy.app/id/component/44" TargetMode="External"/><Relationship Id="rId1" Type="http://schemas.openxmlformats.org/officeDocument/2006/relationships/hyperlink" Target="http://www.comsa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buildinglegacy.app/id/component/45" TargetMode="External"/><Relationship Id="rId1" Type="http://schemas.openxmlformats.org/officeDocument/2006/relationships/hyperlink" Target="http://www.comsa.co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buildinglegacy.app/id/component/46" TargetMode="External"/><Relationship Id="rId1" Type="http://schemas.openxmlformats.org/officeDocument/2006/relationships/hyperlink" Target="http://www.comsa.com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buildinglegacy.app/id/component/47" TargetMode="External"/><Relationship Id="rId1" Type="http://schemas.openxmlformats.org/officeDocument/2006/relationships/hyperlink" Target="http://www.comsa.com/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0553-1675-4DE8-AD81-60395D64EA6F}">
  <dimension ref="A1:F301"/>
  <sheetViews>
    <sheetView zoomScale="85" zoomScaleNormal="85" workbookViewId="0">
      <pane xSplit="3" ySplit="2" topLeftCell="D49" activePane="bottomRight" state="frozen"/>
      <selection pane="topRight" activeCell="C1" sqref="C1"/>
      <selection pane="bottomLeft" activeCell="A3" sqref="A3"/>
      <selection pane="bottomRight" activeCell="E62" sqref="E62:E64"/>
    </sheetView>
  </sheetViews>
  <sheetFormatPr baseColWidth="10" defaultColWidth="9.140625" defaultRowHeight="15" x14ac:dyDescent="0.25"/>
  <cols>
    <col min="1" max="1" width="17" customWidth="1"/>
    <col min="2" max="2" width="3.42578125" customWidth="1"/>
    <col min="3" max="3" width="58.5703125" customWidth="1"/>
    <col min="4" max="4" width="14.42578125" customWidth="1"/>
    <col min="5" max="5" width="30.140625" customWidth="1"/>
    <col min="6" max="6" width="93.7109375" style="13" customWidth="1"/>
  </cols>
  <sheetData>
    <row r="1" spans="1:6" x14ac:dyDescent="0.25">
      <c r="B1" s="9" t="s">
        <v>0</v>
      </c>
      <c r="C1" s="10"/>
      <c r="D1" s="10"/>
      <c r="E1" s="10"/>
      <c r="F1" s="19"/>
    </row>
    <row r="2" spans="1:6" x14ac:dyDescent="0.25">
      <c r="B2" s="8"/>
      <c r="C2" s="11" t="s">
        <v>1</v>
      </c>
      <c r="D2" s="11" t="s">
        <v>2</v>
      </c>
      <c r="E2" s="11" t="s">
        <v>3</v>
      </c>
      <c r="F2" s="20" t="s">
        <v>181</v>
      </c>
    </row>
    <row r="3" spans="1:6" x14ac:dyDescent="0.25">
      <c r="A3" t="s">
        <v>251</v>
      </c>
      <c r="B3" s="4" t="s">
        <v>4</v>
      </c>
      <c r="C3" s="5"/>
      <c r="D3" s="5"/>
      <c r="E3" s="5"/>
      <c r="F3" s="21"/>
    </row>
    <row r="4" spans="1:6" x14ac:dyDescent="0.25">
      <c r="A4" t="s">
        <v>251</v>
      </c>
      <c r="B4" s="1"/>
      <c r="C4" t="s">
        <v>186</v>
      </c>
      <c r="D4" t="s">
        <v>6</v>
      </c>
      <c r="E4" t="s">
        <v>7</v>
      </c>
      <c r="F4" s="22" t="s">
        <v>187</v>
      </c>
    </row>
    <row r="5" spans="1:6" x14ac:dyDescent="0.25">
      <c r="A5" t="s">
        <v>251</v>
      </c>
      <c r="B5" s="1"/>
      <c r="C5" t="s">
        <v>0</v>
      </c>
      <c r="D5" t="s">
        <v>6</v>
      </c>
      <c r="E5" t="s">
        <v>7</v>
      </c>
      <c r="F5" s="22" t="s">
        <v>185</v>
      </c>
    </row>
    <row r="6" spans="1:6" x14ac:dyDescent="0.25">
      <c r="A6" t="s">
        <v>251</v>
      </c>
      <c r="B6" s="1"/>
      <c r="C6" t="s">
        <v>184</v>
      </c>
      <c r="D6" t="s">
        <v>6</v>
      </c>
      <c r="E6" t="s">
        <v>187</v>
      </c>
      <c r="F6" s="22" t="s">
        <v>183</v>
      </c>
    </row>
    <row r="7" spans="1:6" x14ac:dyDescent="0.25">
      <c r="A7" t="s">
        <v>251</v>
      </c>
      <c r="B7" s="1"/>
      <c r="C7" t="s">
        <v>9</v>
      </c>
      <c r="D7" t="s">
        <v>6</v>
      </c>
      <c r="E7" t="s">
        <v>7</v>
      </c>
      <c r="F7" s="22" t="s">
        <v>150</v>
      </c>
    </row>
    <row r="8" spans="1:6" x14ac:dyDescent="0.25">
      <c r="A8" t="s">
        <v>251</v>
      </c>
      <c r="B8" s="1"/>
      <c r="C8" t="s">
        <v>260</v>
      </c>
      <c r="D8" t="s">
        <v>6</v>
      </c>
      <c r="E8" t="s">
        <v>7</v>
      </c>
      <c r="F8" s="22" t="s">
        <v>149</v>
      </c>
    </row>
    <row r="9" spans="1:6" x14ac:dyDescent="0.25">
      <c r="A9" t="s">
        <v>251</v>
      </c>
      <c r="B9" s="1"/>
      <c r="C9" t="s">
        <v>10</v>
      </c>
      <c r="D9" t="s">
        <v>6</v>
      </c>
      <c r="E9" t="s">
        <v>7</v>
      </c>
      <c r="F9" s="22" t="s">
        <v>151</v>
      </c>
    </row>
    <row r="10" spans="1:6" x14ac:dyDescent="0.25">
      <c r="A10" t="s">
        <v>251</v>
      </c>
      <c r="B10" s="1"/>
      <c r="C10" s="26" t="s">
        <v>2</v>
      </c>
      <c r="D10" s="26" t="s">
        <v>182</v>
      </c>
      <c r="E10" t="s">
        <v>7</v>
      </c>
      <c r="F10" s="22"/>
    </row>
    <row r="11" spans="1:6" x14ac:dyDescent="0.25">
      <c r="A11" t="s">
        <v>251</v>
      </c>
      <c r="B11" s="1"/>
      <c r="C11" s="26" t="s">
        <v>189</v>
      </c>
      <c r="D11" s="26" t="s">
        <v>188</v>
      </c>
      <c r="E11" s="12" t="s">
        <v>7</v>
      </c>
      <c r="F11" s="22"/>
    </row>
    <row r="12" spans="1:6" x14ac:dyDescent="0.25">
      <c r="A12" t="s">
        <v>251</v>
      </c>
      <c r="B12" s="4" t="s">
        <v>12</v>
      </c>
      <c r="C12" s="5"/>
      <c r="D12" s="5"/>
      <c r="E12" s="5"/>
      <c r="F12" s="21"/>
    </row>
    <row r="13" spans="1:6" x14ac:dyDescent="0.25">
      <c r="A13" t="s">
        <v>251</v>
      </c>
      <c r="B13" s="1"/>
      <c r="C13" s="17" t="s">
        <v>13</v>
      </c>
      <c r="D13" t="s">
        <v>6</v>
      </c>
      <c r="E13" t="s">
        <v>197</v>
      </c>
      <c r="F13" s="22" t="s">
        <v>254</v>
      </c>
    </row>
    <row r="14" spans="1:6" x14ac:dyDescent="0.25">
      <c r="A14" t="s">
        <v>251</v>
      </c>
      <c r="B14" s="1"/>
      <c r="C14" t="s">
        <v>14</v>
      </c>
      <c r="D14" t="s">
        <v>191</v>
      </c>
      <c r="E14" t="s">
        <v>15</v>
      </c>
    </row>
    <row r="15" spans="1:6" x14ac:dyDescent="0.25">
      <c r="A15" t="s">
        <v>251</v>
      </c>
      <c r="B15" s="1"/>
      <c r="C15" t="s">
        <v>190</v>
      </c>
      <c r="D15" t="s">
        <v>191</v>
      </c>
      <c r="E15" t="s">
        <v>192</v>
      </c>
      <c r="F15" s="22" t="s">
        <v>154</v>
      </c>
    </row>
    <row r="16" spans="1:6" x14ac:dyDescent="0.25">
      <c r="A16" t="s">
        <v>251</v>
      </c>
      <c r="B16" s="1"/>
      <c r="C16" t="s">
        <v>16</v>
      </c>
      <c r="D16" t="s">
        <v>6</v>
      </c>
      <c r="E16" t="s">
        <v>7</v>
      </c>
      <c r="F16" s="22" t="s">
        <v>156</v>
      </c>
    </row>
    <row r="17" spans="1:6" x14ac:dyDescent="0.25">
      <c r="A17" t="s">
        <v>251</v>
      </c>
      <c r="B17" s="1"/>
      <c r="C17" t="s">
        <v>17</v>
      </c>
      <c r="D17" t="s">
        <v>6</v>
      </c>
      <c r="E17" t="s">
        <v>7</v>
      </c>
      <c r="F17" s="22" t="s">
        <v>152</v>
      </c>
    </row>
    <row r="18" spans="1:6" x14ac:dyDescent="0.25">
      <c r="A18" t="s">
        <v>251</v>
      </c>
      <c r="B18" s="1"/>
      <c r="C18" t="s">
        <v>18</v>
      </c>
      <c r="D18" t="s">
        <v>6</v>
      </c>
      <c r="E18" t="s">
        <v>7</v>
      </c>
      <c r="F18" s="22" t="s">
        <v>153</v>
      </c>
    </row>
    <row r="19" spans="1:6" x14ac:dyDescent="0.25">
      <c r="B19" s="1"/>
      <c r="C19" s="33" t="s">
        <v>19</v>
      </c>
      <c r="D19" t="s">
        <v>6</v>
      </c>
      <c r="E19" t="s">
        <v>7</v>
      </c>
      <c r="F19" s="22" t="s">
        <v>157</v>
      </c>
    </row>
    <row r="20" spans="1:6" ht="45" x14ac:dyDescent="0.25">
      <c r="B20" s="1"/>
      <c r="C20" s="27" t="s">
        <v>20</v>
      </c>
      <c r="D20" s="27" t="s">
        <v>6</v>
      </c>
      <c r="E20" s="27" t="s">
        <v>193</v>
      </c>
      <c r="F20" s="28" t="s">
        <v>194</v>
      </c>
    </row>
    <row r="21" spans="1:6" x14ac:dyDescent="0.25">
      <c r="B21" s="4" t="s">
        <v>21</v>
      </c>
      <c r="C21" s="5"/>
      <c r="D21" s="5"/>
      <c r="E21" s="5"/>
      <c r="F21" s="21"/>
    </row>
    <row r="22" spans="1:6" x14ac:dyDescent="0.25">
      <c r="A22" t="s">
        <v>251</v>
      </c>
      <c r="B22" s="1" t="s">
        <v>229</v>
      </c>
      <c r="C22" t="s">
        <v>200</v>
      </c>
      <c r="D22" t="s">
        <v>199</v>
      </c>
      <c r="E22" t="s">
        <v>7</v>
      </c>
      <c r="F22" s="22"/>
    </row>
    <row r="23" spans="1:6" x14ac:dyDescent="0.25">
      <c r="A23" t="s">
        <v>251</v>
      </c>
      <c r="B23" s="1" t="s">
        <v>229</v>
      </c>
      <c r="C23" t="s">
        <v>25</v>
      </c>
      <c r="D23" t="s">
        <v>6</v>
      </c>
      <c r="E23" t="s">
        <v>7</v>
      </c>
      <c r="F23" s="22" t="s">
        <v>22</v>
      </c>
    </row>
    <row r="24" spans="1:6" x14ac:dyDescent="0.25">
      <c r="A24" t="s">
        <v>251</v>
      </c>
      <c r="B24" s="1" t="s">
        <v>229</v>
      </c>
      <c r="C24" s="39" t="s">
        <v>196</v>
      </c>
      <c r="D24" t="s">
        <v>6</v>
      </c>
      <c r="E24" t="s">
        <v>7</v>
      </c>
      <c r="F24" s="22"/>
    </row>
    <row r="25" spans="1:6" x14ac:dyDescent="0.25">
      <c r="A25" t="s">
        <v>251</v>
      </c>
      <c r="B25" s="1" t="s">
        <v>229</v>
      </c>
      <c r="C25" s="39" t="s">
        <v>201</v>
      </c>
      <c r="D25" t="s">
        <v>266</v>
      </c>
      <c r="E25" t="s">
        <v>198</v>
      </c>
      <c r="F25" s="22"/>
    </row>
    <row r="26" spans="1:6" x14ac:dyDescent="0.25">
      <c r="A26" t="s">
        <v>251</v>
      </c>
      <c r="B26" s="1" t="s">
        <v>229</v>
      </c>
      <c r="C26" s="39" t="s">
        <v>195</v>
      </c>
      <c r="D26" t="s">
        <v>6</v>
      </c>
      <c r="E26" t="s">
        <v>198</v>
      </c>
      <c r="F26" s="22" t="s">
        <v>22</v>
      </c>
    </row>
    <row r="27" spans="1:6" x14ac:dyDescent="0.25">
      <c r="A27" t="s">
        <v>251</v>
      </c>
      <c r="B27" s="1" t="s">
        <v>229</v>
      </c>
      <c r="C27" s="39" t="s">
        <v>202</v>
      </c>
      <c r="D27" t="s">
        <v>266</v>
      </c>
      <c r="E27" t="s">
        <v>198</v>
      </c>
      <c r="F27" s="22"/>
    </row>
    <row r="28" spans="1:6" x14ac:dyDescent="0.25">
      <c r="B28" s="1"/>
      <c r="C28" s="29" t="s">
        <v>26</v>
      </c>
      <c r="D28" s="29" t="s">
        <v>6</v>
      </c>
      <c r="E28" s="29" t="s">
        <v>7</v>
      </c>
      <c r="F28" s="30" t="s">
        <v>154</v>
      </c>
    </row>
    <row r="29" spans="1:6" x14ac:dyDescent="0.25">
      <c r="B29" s="1"/>
      <c r="C29" s="29" t="s">
        <v>27</v>
      </c>
      <c r="D29" s="29" t="s">
        <v>28</v>
      </c>
      <c r="E29" s="29" t="s">
        <v>15</v>
      </c>
      <c r="F29" s="30" t="s">
        <v>154</v>
      </c>
    </row>
    <row r="30" spans="1:6" x14ac:dyDescent="0.25">
      <c r="B30" s="1" t="s">
        <v>229</v>
      </c>
      <c r="C30" t="s">
        <v>29</v>
      </c>
      <c r="D30" t="s">
        <v>263</v>
      </c>
      <c r="E30" t="s">
        <v>7</v>
      </c>
      <c r="F30" s="23"/>
    </row>
    <row r="31" spans="1:6" x14ac:dyDescent="0.25">
      <c r="B31" s="1" t="s">
        <v>229</v>
      </c>
      <c r="C31" s="14" t="s">
        <v>31</v>
      </c>
      <c r="D31" t="s">
        <v>6</v>
      </c>
      <c r="E31" t="s">
        <v>15</v>
      </c>
      <c r="F31" s="22"/>
    </row>
    <row r="32" spans="1:6" x14ac:dyDescent="0.25">
      <c r="B32" s="1"/>
      <c r="C32" s="14" t="s">
        <v>32</v>
      </c>
      <c r="D32" t="s">
        <v>6</v>
      </c>
      <c r="E32" t="s">
        <v>15</v>
      </c>
      <c r="F32" s="22"/>
    </row>
    <row r="33" spans="2:6" x14ac:dyDescent="0.25">
      <c r="B33" s="1" t="s">
        <v>229</v>
      </c>
      <c r="C33" t="s">
        <v>33</v>
      </c>
      <c r="D33" t="s">
        <v>6</v>
      </c>
      <c r="E33" t="s">
        <v>15</v>
      </c>
      <c r="F33" s="22"/>
    </row>
    <row r="34" spans="2:6" x14ac:dyDescent="0.25">
      <c r="B34" s="1" t="s">
        <v>229</v>
      </c>
      <c r="C34" s="14" t="s">
        <v>34</v>
      </c>
      <c r="D34" t="s">
        <v>6</v>
      </c>
      <c r="E34" t="s">
        <v>15</v>
      </c>
      <c r="F34" s="22"/>
    </row>
    <row r="35" spans="2:6" x14ac:dyDescent="0.25">
      <c r="B35" s="1" t="s">
        <v>229</v>
      </c>
      <c r="C35" s="14" t="s">
        <v>35</v>
      </c>
      <c r="D35" t="s">
        <v>6</v>
      </c>
      <c r="E35" t="s">
        <v>15</v>
      </c>
      <c r="F35" s="22"/>
    </row>
    <row r="36" spans="2:6" x14ac:dyDescent="0.25">
      <c r="B36" s="1"/>
      <c r="C36" s="14" t="s">
        <v>36</v>
      </c>
      <c r="D36" t="s">
        <v>6</v>
      </c>
      <c r="E36" t="s">
        <v>15</v>
      </c>
      <c r="F36" s="22" t="s">
        <v>155</v>
      </c>
    </row>
    <row r="37" spans="2:6" x14ac:dyDescent="0.25">
      <c r="B37" s="1" t="s">
        <v>229</v>
      </c>
      <c r="C37" s="14" t="s">
        <v>37</v>
      </c>
      <c r="D37" t="s">
        <v>6</v>
      </c>
      <c r="E37" t="s">
        <v>271</v>
      </c>
      <c r="F37" s="22"/>
    </row>
    <row r="38" spans="2:6" x14ac:dyDescent="0.25">
      <c r="B38" s="1"/>
      <c r="C38" s="14" t="s">
        <v>272</v>
      </c>
      <c r="D38" t="s">
        <v>6</v>
      </c>
      <c r="E38" t="s">
        <v>273</v>
      </c>
      <c r="F38" s="22"/>
    </row>
    <row r="39" spans="2:6" x14ac:dyDescent="0.25">
      <c r="B39" s="1"/>
      <c r="C39" s="14" t="s">
        <v>204</v>
      </c>
      <c r="D39" t="s">
        <v>203</v>
      </c>
      <c r="E39" t="s">
        <v>278</v>
      </c>
      <c r="F39" s="22"/>
    </row>
    <row r="40" spans="2:6" x14ac:dyDescent="0.25">
      <c r="B40" s="1"/>
      <c r="C40" s="14" t="s">
        <v>206</v>
      </c>
      <c r="D40" t="s">
        <v>205</v>
      </c>
      <c r="E40" t="s">
        <v>267</v>
      </c>
      <c r="F40" s="22"/>
    </row>
    <row r="41" spans="2:6" x14ac:dyDescent="0.25">
      <c r="B41" s="1"/>
      <c r="C41" s="14" t="s">
        <v>207</v>
      </c>
      <c r="D41" t="s">
        <v>205</v>
      </c>
      <c r="E41" t="s">
        <v>267</v>
      </c>
      <c r="F41" s="22"/>
    </row>
    <row r="42" spans="2:6" x14ac:dyDescent="0.25">
      <c r="B42" s="1"/>
      <c r="C42" s="14" t="s">
        <v>209</v>
      </c>
      <c r="D42" t="s">
        <v>275</v>
      </c>
      <c r="E42" t="s">
        <v>279</v>
      </c>
      <c r="F42" s="22"/>
    </row>
    <row r="43" spans="2:6" x14ac:dyDescent="0.25">
      <c r="B43" s="1"/>
      <c r="C43" s="14" t="s">
        <v>274</v>
      </c>
      <c r="D43" t="s">
        <v>276</v>
      </c>
      <c r="E43" t="s">
        <v>277</v>
      </c>
      <c r="F43" s="22"/>
    </row>
    <row r="44" spans="2:6" x14ac:dyDescent="0.25">
      <c r="B44" s="1"/>
      <c r="C44" s="14" t="s">
        <v>210</v>
      </c>
      <c r="D44" t="s">
        <v>208</v>
      </c>
      <c r="E44" t="s">
        <v>280</v>
      </c>
      <c r="F44" s="22"/>
    </row>
    <row r="45" spans="2:6" x14ac:dyDescent="0.25">
      <c r="B45" s="1"/>
      <c r="C45" s="14" t="s">
        <v>212</v>
      </c>
      <c r="D45" t="s">
        <v>211</v>
      </c>
      <c r="E45" t="s">
        <v>281</v>
      </c>
      <c r="F45" s="22"/>
    </row>
    <row r="46" spans="2:6" x14ac:dyDescent="0.25">
      <c r="B46" s="1" t="s">
        <v>229</v>
      </c>
      <c r="C46" s="14" t="s">
        <v>38</v>
      </c>
      <c r="D46" t="s">
        <v>6</v>
      </c>
      <c r="E46" t="s">
        <v>214</v>
      </c>
      <c r="F46" s="22"/>
    </row>
    <row r="47" spans="2:6" x14ac:dyDescent="0.25">
      <c r="B47" s="1"/>
      <c r="C47" s="14" t="s">
        <v>39</v>
      </c>
      <c r="D47" t="s">
        <v>213</v>
      </c>
      <c r="E47" t="s">
        <v>214</v>
      </c>
      <c r="F47" s="22"/>
    </row>
    <row r="48" spans="2:6" x14ac:dyDescent="0.25">
      <c r="B48" s="1"/>
      <c r="C48" s="14" t="s">
        <v>41</v>
      </c>
      <c r="D48" t="s">
        <v>213</v>
      </c>
      <c r="E48" t="s">
        <v>214</v>
      </c>
      <c r="F48" s="22"/>
    </row>
    <row r="49" spans="2:6" x14ac:dyDescent="0.25">
      <c r="B49" s="1"/>
      <c r="C49" s="14" t="s">
        <v>42</v>
      </c>
      <c r="D49" t="s">
        <v>213</v>
      </c>
      <c r="E49" t="s">
        <v>214</v>
      </c>
      <c r="F49" s="22"/>
    </row>
    <row r="50" spans="2:6" x14ac:dyDescent="0.25">
      <c r="B50" s="1"/>
      <c r="C50" s="14" t="s">
        <v>43</v>
      </c>
      <c r="D50" t="s">
        <v>6</v>
      </c>
      <c r="E50" t="s">
        <v>290</v>
      </c>
      <c r="F50" s="22"/>
    </row>
    <row r="51" spans="2:6" x14ac:dyDescent="0.25">
      <c r="B51" s="1"/>
      <c r="C51" s="31" t="s">
        <v>44</v>
      </c>
      <c r="D51" s="29" t="s">
        <v>6</v>
      </c>
      <c r="E51" s="29" t="s">
        <v>23</v>
      </c>
      <c r="F51" s="22"/>
    </row>
    <row r="52" spans="2:6" x14ac:dyDescent="0.25">
      <c r="B52" s="1" t="s">
        <v>229</v>
      </c>
      <c r="C52" s="15" t="s">
        <v>45</v>
      </c>
      <c r="D52" t="s">
        <v>46</v>
      </c>
      <c r="E52" t="s">
        <v>7</v>
      </c>
      <c r="F52" s="22"/>
    </row>
    <row r="53" spans="2:6" x14ac:dyDescent="0.25">
      <c r="B53" s="1"/>
      <c r="C53" s="14" t="s">
        <v>215</v>
      </c>
      <c r="D53" t="s">
        <v>46</v>
      </c>
      <c r="E53" t="s">
        <v>220</v>
      </c>
      <c r="F53" s="22"/>
    </row>
    <row r="54" spans="2:6" x14ac:dyDescent="0.25">
      <c r="B54" s="1"/>
      <c r="C54" s="14" t="s">
        <v>216</v>
      </c>
      <c r="D54" t="s">
        <v>46</v>
      </c>
      <c r="E54" t="s">
        <v>220</v>
      </c>
      <c r="F54" s="22"/>
    </row>
    <row r="55" spans="2:6" x14ac:dyDescent="0.25">
      <c r="B55" s="1"/>
      <c r="C55" s="15" t="s">
        <v>218</v>
      </c>
      <c r="D55" t="s">
        <v>48</v>
      </c>
      <c r="E55" t="s">
        <v>221</v>
      </c>
      <c r="F55" s="22"/>
    </row>
    <row r="56" spans="2:6" x14ac:dyDescent="0.25">
      <c r="B56" s="1"/>
      <c r="C56" s="15" t="s">
        <v>219</v>
      </c>
      <c r="D56" t="s">
        <v>48</v>
      </c>
      <c r="E56" t="s">
        <v>221</v>
      </c>
      <c r="F56" s="22"/>
    </row>
    <row r="57" spans="2:6" x14ac:dyDescent="0.25">
      <c r="B57" s="1" t="s">
        <v>229</v>
      </c>
      <c r="C57" s="15" t="s">
        <v>49</v>
      </c>
      <c r="D57" t="s">
        <v>50</v>
      </c>
      <c r="E57" t="s">
        <v>269</v>
      </c>
      <c r="F57" s="22"/>
    </row>
    <row r="58" spans="2:6" x14ac:dyDescent="0.25">
      <c r="B58" s="1" t="s">
        <v>229</v>
      </c>
      <c r="C58" s="15" t="s">
        <v>51</v>
      </c>
      <c r="D58" t="s">
        <v>50</v>
      </c>
      <c r="E58" t="s">
        <v>270</v>
      </c>
      <c r="F58" s="22"/>
    </row>
    <row r="59" spans="2:6" x14ac:dyDescent="0.25">
      <c r="B59" s="1" t="s">
        <v>229</v>
      </c>
      <c r="C59" s="15" t="s">
        <v>52</v>
      </c>
      <c r="D59" t="s">
        <v>53</v>
      </c>
      <c r="E59" t="s">
        <v>268</v>
      </c>
      <c r="F59" s="22"/>
    </row>
    <row r="60" spans="2:6" x14ac:dyDescent="0.25">
      <c r="B60" s="1" t="s">
        <v>229</v>
      </c>
      <c r="C60" s="15" t="s">
        <v>54</v>
      </c>
      <c r="D60" t="s">
        <v>50</v>
      </c>
      <c r="E60" t="s">
        <v>217</v>
      </c>
      <c r="F60" s="22"/>
    </row>
    <row r="61" spans="2:6" x14ac:dyDescent="0.25">
      <c r="B61" s="1" t="s">
        <v>229</v>
      </c>
      <c r="C61" s="15" t="s">
        <v>55</v>
      </c>
      <c r="D61" t="s">
        <v>6</v>
      </c>
      <c r="E61" t="s">
        <v>217</v>
      </c>
      <c r="F61" s="22"/>
    </row>
    <row r="62" spans="2:6" x14ac:dyDescent="0.25">
      <c r="B62" s="1" t="s">
        <v>229</v>
      </c>
      <c r="C62" s="15" t="s">
        <v>56</v>
      </c>
      <c r="D62" t="s">
        <v>6</v>
      </c>
      <c r="E62" t="s">
        <v>217</v>
      </c>
      <c r="F62" s="22"/>
    </row>
    <row r="63" spans="2:6" x14ac:dyDescent="0.25">
      <c r="B63" s="1"/>
      <c r="C63" s="15" t="s">
        <v>57</v>
      </c>
      <c r="D63" t="s">
        <v>6</v>
      </c>
      <c r="E63" t="s">
        <v>217</v>
      </c>
      <c r="F63" s="22"/>
    </row>
    <row r="64" spans="2:6" x14ac:dyDescent="0.25">
      <c r="B64" s="1" t="s">
        <v>229</v>
      </c>
      <c r="C64" s="15" t="s">
        <v>58</v>
      </c>
      <c r="D64" t="s">
        <v>59</v>
      </c>
      <c r="E64" t="s">
        <v>283</v>
      </c>
      <c r="F64" s="22"/>
    </row>
    <row r="65" spans="1:6" x14ac:dyDescent="0.25">
      <c r="B65" s="1" t="s">
        <v>229</v>
      </c>
      <c r="C65" s="15" t="s">
        <v>225</v>
      </c>
      <c r="D65" t="s">
        <v>6</v>
      </c>
      <c r="E65" t="s">
        <v>222</v>
      </c>
      <c r="F65" s="22"/>
    </row>
    <row r="66" spans="1:6" x14ac:dyDescent="0.25">
      <c r="B66" s="1"/>
      <c r="C66" s="15" t="s">
        <v>226</v>
      </c>
      <c r="D66" t="s">
        <v>6</v>
      </c>
      <c r="E66" t="s">
        <v>217</v>
      </c>
      <c r="F66" s="22"/>
    </row>
    <row r="67" spans="1:6" x14ac:dyDescent="0.25">
      <c r="B67" s="1"/>
      <c r="C67" s="15" t="s">
        <v>60</v>
      </c>
      <c r="D67" t="s">
        <v>61</v>
      </c>
      <c r="E67" t="s">
        <v>223</v>
      </c>
      <c r="F67" s="22"/>
    </row>
    <row r="68" spans="1:6" x14ac:dyDescent="0.25">
      <c r="B68" s="1"/>
      <c r="C68" s="36" t="s">
        <v>224</v>
      </c>
      <c r="D68" s="35" t="s">
        <v>6</v>
      </c>
      <c r="E68" s="35" t="s">
        <v>47</v>
      </c>
      <c r="F68" s="22"/>
    </row>
    <row r="69" spans="1:6" x14ac:dyDescent="0.25">
      <c r="B69" s="1"/>
      <c r="C69" s="15" t="s">
        <v>62</v>
      </c>
      <c r="D69" t="s">
        <v>6</v>
      </c>
      <c r="E69" t="s">
        <v>227</v>
      </c>
      <c r="F69" s="22"/>
    </row>
    <row r="70" spans="1:6" x14ac:dyDescent="0.25">
      <c r="B70" s="1"/>
      <c r="C70" s="15" t="s">
        <v>257</v>
      </c>
      <c r="D70" t="s">
        <v>6</v>
      </c>
      <c r="E70" t="s">
        <v>282</v>
      </c>
      <c r="F70" s="22"/>
    </row>
    <row r="71" spans="1:6" x14ac:dyDescent="0.25">
      <c r="B71" s="1"/>
      <c r="C71" s="14" t="s">
        <v>228</v>
      </c>
      <c r="E71" t="s">
        <v>63</v>
      </c>
      <c r="F71" s="21"/>
    </row>
    <row r="72" spans="1:6" x14ac:dyDescent="0.25">
      <c r="B72" s="4" t="s">
        <v>68</v>
      </c>
      <c r="C72" s="5"/>
      <c r="D72" s="5"/>
      <c r="E72" s="5"/>
    </row>
    <row r="73" spans="1:6" x14ac:dyDescent="0.25">
      <c r="B73" s="1"/>
      <c r="C73" s="34" t="s">
        <v>69</v>
      </c>
      <c r="D73" s="35" t="s">
        <v>6</v>
      </c>
      <c r="E73" s="35" t="s">
        <v>7</v>
      </c>
      <c r="F73" s="22"/>
    </row>
    <row r="74" spans="1:6" x14ac:dyDescent="0.25">
      <c r="B74" s="1"/>
      <c r="C74" s="34" t="s">
        <v>70</v>
      </c>
      <c r="D74" s="35" t="s">
        <v>6</v>
      </c>
      <c r="E74" s="35" t="s">
        <v>7</v>
      </c>
      <c r="F74" s="22"/>
    </row>
    <row r="75" spans="1:6" x14ac:dyDescent="0.25">
      <c r="B75" s="1"/>
      <c r="C75" s="34" t="s">
        <v>71</v>
      </c>
      <c r="D75" s="35" t="s">
        <v>6</v>
      </c>
      <c r="E75" s="35" t="s">
        <v>7</v>
      </c>
      <c r="F75" s="22"/>
    </row>
    <row r="76" spans="1:6" x14ac:dyDescent="0.25">
      <c r="A76" t="s">
        <v>251</v>
      </c>
      <c r="B76" s="1" t="s">
        <v>72</v>
      </c>
      <c r="C76" s="5"/>
      <c r="D76" s="5"/>
      <c r="E76" s="5"/>
      <c r="F76" s="21"/>
    </row>
    <row r="77" spans="1:6" x14ac:dyDescent="0.25">
      <c r="B77" s="1"/>
      <c r="C77" s="34" t="s">
        <v>73</v>
      </c>
      <c r="D77" s="35" t="s">
        <v>6</v>
      </c>
      <c r="E77" s="35" t="s">
        <v>7</v>
      </c>
      <c r="F77" s="22" t="s">
        <v>149</v>
      </c>
    </row>
    <row r="78" spans="1:6" x14ac:dyDescent="0.25">
      <c r="A78" t="s">
        <v>251</v>
      </c>
      <c r="B78" s="1"/>
      <c r="C78" s="38" t="s">
        <v>241</v>
      </c>
      <c r="F78" s="22"/>
    </row>
    <row r="79" spans="1:6" x14ac:dyDescent="0.25">
      <c r="A79" t="s">
        <v>251</v>
      </c>
      <c r="B79" s="1"/>
      <c r="C79" s="38" t="s">
        <v>238</v>
      </c>
      <c r="F79" s="22"/>
    </row>
    <row r="80" spans="1:6" x14ac:dyDescent="0.25">
      <c r="A80" t="s">
        <v>251</v>
      </c>
      <c r="B80" s="1"/>
      <c r="C80" s="38" t="s">
        <v>239</v>
      </c>
      <c r="F80" s="22"/>
    </row>
    <row r="81" spans="1:6" x14ac:dyDescent="0.25">
      <c r="A81" t="s">
        <v>251</v>
      </c>
      <c r="B81" s="1"/>
      <c r="C81" s="38" t="s">
        <v>240</v>
      </c>
      <c r="F81" s="22"/>
    </row>
    <row r="82" spans="1:6" x14ac:dyDescent="0.25">
      <c r="B82" s="1"/>
      <c r="C82" s="15" t="s">
        <v>74</v>
      </c>
      <c r="D82" t="s">
        <v>6</v>
      </c>
      <c r="E82" t="s">
        <v>7</v>
      </c>
      <c r="F82" s="22"/>
    </row>
    <row r="83" spans="1:6" x14ac:dyDescent="0.25">
      <c r="B83" s="1"/>
      <c r="C83" s="38" t="s">
        <v>242</v>
      </c>
      <c r="D83" t="s">
        <v>6</v>
      </c>
      <c r="E83" t="s">
        <v>7</v>
      </c>
      <c r="F83" s="22" t="s">
        <v>159</v>
      </c>
    </row>
    <row r="84" spans="1:6" x14ac:dyDescent="0.25">
      <c r="B84" s="1"/>
      <c r="C84" s="38" t="s">
        <v>243</v>
      </c>
      <c r="D84" t="s">
        <v>6</v>
      </c>
      <c r="E84" t="s">
        <v>7</v>
      </c>
      <c r="F84" s="24" t="s">
        <v>160</v>
      </c>
    </row>
    <row r="85" spans="1:6" x14ac:dyDescent="0.25">
      <c r="B85" s="1"/>
      <c r="C85" s="38" t="s">
        <v>244</v>
      </c>
      <c r="D85" t="s">
        <v>6</v>
      </c>
      <c r="E85" t="s">
        <v>7</v>
      </c>
      <c r="F85" s="24" t="s">
        <v>158</v>
      </c>
    </row>
    <row r="86" spans="1:6" x14ac:dyDescent="0.25">
      <c r="A86" t="s">
        <v>251</v>
      </c>
      <c r="B86" s="16" t="s">
        <v>75</v>
      </c>
      <c r="C86" s="5"/>
      <c r="D86" s="5"/>
      <c r="E86" s="5"/>
      <c r="F86" s="21"/>
    </row>
    <row r="87" spans="1:6" x14ac:dyDescent="0.25">
      <c r="A87" t="s">
        <v>251</v>
      </c>
      <c r="B87" s="1"/>
      <c r="C87" s="14" t="s">
        <v>245</v>
      </c>
      <c r="D87" t="s">
        <v>6</v>
      </c>
      <c r="E87" t="s">
        <v>7</v>
      </c>
      <c r="F87" s="22" t="s">
        <v>161</v>
      </c>
    </row>
    <row r="88" spans="1:6" x14ac:dyDescent="0.25">
      <c r="A88" t="s">
        <v>251</v>
      </c>
      <c r="B88" s="1"/>
      <c r="C88" s="38" t="s">
        <v>246</v>
      </c>
      <c r="D88" s="39" t="s">
        <v>6</v>
      </c>
      <c r="E88" s="39" t="s">
        <v>7</v>
      </c>
      <c r="F88" s="22"/>
    </row>
    <row r="89" spans="1:6" x14ac:dyDescent="0.25">
      <c r="B89" s="1"/>
      <c r="C89" s="38" t="s">
        <v>247</v>
      </c>
      <c r="D89" t="s">
        <v>76</v>
      </c>
      <c r="E89" t="s">
        <v>7</v>
      </c>
      <c r="F89" s="22">
        <v>2018</v>
      </c>
    </row>
    <row r="90" spans="1:6" x14ac:dyDescent="0.25">
      <c r="A90" t="s">
        <v>251</v>
      </c>
      <c r="B90" s="1"/>
      <c r="C90" s="14" t="s">
        <v>77</v>
      </c>
      <c r="D90" t="s">
        <v>78</v>
      </c>
      <c r="E90" t="s">
        <v>7</v>
      </c>
      <c r="F90" s="22">
        <v>7</v>
      </c>
    </row>
    <row r="91" spans="1:6" x14ac:dyDescent="0.25">
      <c r="A91" t="s">
        <v>251</v>
      </c>
      <c r="B91" s="4" t="s">
        <v>79</v>
      </c>
      <c r="C91" s="5"/>
      <c r="D91" s="5"/>
      <c r="E91" s="5"/>
      <c r="F91" s="21"/>
    </row>
    <row r="92" spans="1:6" x14ac:dyDescent="0.25">
      <c r="B92" s="1"/>
      <c r="C92" s="14" t="s">
        <v>80</v>
      </c>
      <c r="D92" t="s">
        <v>6</v>
      </c>
      <c r="E92" t="s">
        <v>7</v>
      </c>
      <c r="F92" s="22"/>
    </row>
    <row r="93" spans="1:6" x14ac:dyDescent="0.25">
      <c r="A93" t="s">
        <v>251</v>
      </c>
      <c r="B93" s="1"/>
      <c r="C93" s="14" t="s">
        <v>81</v>
      </c>
      <c r="D93" t="s">
        <v>6</v>
      </c>
      <c r="E93" t="s">
        <v>7</v>
      </c>
      <c r="F93" s="22" t="s">
        <v>134</v>
      </c>
    </row>
    <row r="94" spans="1:6" x14ac:dyDescent="0.25">
      <c r="A94" t="s">
        <v>251</v>
      </c>
      <c r="B94" s="1"/>
      <c r="C94" s="14" t="s">
        <v>82</v>
      </c>
      <c r="D94" t="s">
        <v>6</v>
      </c>
      <c r="E94" t="s">
        <v>7</v>
      </c>
      <c r="F94" s="22" t="s">
        <v>169</v>
      </c>
    </row>
    <row r="95" spans="1:6" x14ac:dyDescent="0.25">
      <c r="A95" t="s">
        <v>251</v>
      </c>
      <c r="B95" s="1"/>
      <c r="C95" s="14" t="s">
        <v>234</v>
      </c>
      <c r="D95" t="s">
        <v>250</v>
      </c>
      <c r="E95" t="s">
        <v>7</v>
      </c>
      <c r="F95" s="22"/>
    </row>
    <row r="96" spans="1:6" x14ac:dyDescent="0.25">
      <c r="A96" t="s">
        <v>251</v>
      </c>
      <c r="B96" s="1"/>
      <c r="C96" s="38" t="s">
        <v>233</v>
      </c>
      <c r="D96" s="39" t="s">
        <v>250</v>
      </c>
      <c r="E96" s="39" t="s">
        <v>7</v>
      </c>
      <c r="F96" s="22"/>
    </row>
    <row r="97" spans="1:6" x14ac:dyDescent="0.25">
      <c r="A97" t="s">
        <v>251</v>
      </c>
      <c r="B97" s="1"/>
      <c r="C97" s="14" t="s">
        <v>83</v>
      </c>
      <c r="D97" t="s">
        <v>6</v>
      </c>
      <c r="E97" t="s">
        <v>7</v>
      </c>
      <c r="F97" s="22"/>
    </row>
    <row r="98" spans="1:6" x14ac:dyDescent="0.25">
      <c r="A98" t="s">
        <v>251</v>
      </c>
      <c r="B98" s="1"/>
      <c r="C98" s="14" t="s">
        <v>84</v>
      </c>
      <c r="D98" t="s">
        <v>6</v>
      </c>
      <c r="E98" t="s">
        <v>7</v>
      </c>
      <c r="F98" s="22" t="s">
        <v>169</v>
      </c>
    </row>
    <row r="99" spans="1:6" x14ac:dyDescent="0.25">
      <c r="A99" t="s">
        <v>251</v>
      </c>
      <c r="B99" s="1"/>
      <c r="C99" s="14" t="s">
        <v>85</v>
      </c>
      <c r="D99" s="33" t="s">
        <v>86</v>
      </c>
      <c r="E99" t="s">
        <v>7</v>
      </c>
      <c r="F99" s="22"/>
    </row>
    <row r="100" spans="1:6" x14ac:dyDescent="0.25">
      <c r="B100" s="1"/>
      <c r="C100" s="32" t="s">
        <v>87</v>
      </c>
      <c r="D100" s="33" t="s">
        <v>6</v>
      </c>
      <c r="E100" s="33" t="s">
        <v>7</v>
      </c>
      <c r="F100" s="22"/>
    </row>
    <row r="101" spans="1:6" x14ac:dyDescent="0.25">
      <c r="B101" s="4" t="s">
        <v>88</v>
      </c>
      <c r="C101" s="5"/>
      <c r="D101" s="5"/>
      <c r="E101" s="5"/>
      <c r="F101" s="21"/>
    </row>
    <row r="102" spans="1:6" x14ac:dyDescent="0.25">
      <c r="B102" s="1"/>
      <c r="C102" s="14" t="s">
        <v>89</v>
      </c>
      <c r="D102" t="s">
        <v>90</v>
      </c>
      <c r="E102" t="s">
        <v>7</v>
      </c>
      <c r="F102" s="22"/>
    </row>
    <row r="103" spans="1:6" x14ac:dyDescent="0.25">
      <c r="A103" t="s">
        <v>251</v>
      </c>
      <c r="B103" s="1"/>
      <c r="C103" s="14" t="s">
        <v>248</v>
      </c>
      <c r="D103" t="s">
        <v>90</v>
      </c>
      <c r="E103" t="s">
        <v>7</v>
      </c>
      <c r="F103" s="22"/>
    </row>
    <row r="104" spans="1:6" x14ac:dyDescent="0.25">
      <c r="B104" s="1"/>
      <c r="C104" s="14" t="s">
        <v>249</v>
      </c>
      <c r="D104" t="s">
        <v>90</v>
      </c>
      <c r="E104" t="s">
        <v>7</v>
      </c>
      <c r="F104" s="22"/>
    </row>
    <row r="105" spans="1:6" x14ac:dyDescent="0.25">
      <c r="A105" t="s">
        <v>251</v>
      </c>
      <c r="B105" s="1"/>
      <c r="C105" s="14" t="s">
        <v>91</v>
      </c>
      <c r="D105" t="s">
        <v>6</v>
      </c>
      <c r="E105" t="s">
        <v>7</v>
      </c>
      <c r="F105" s="22"/>
    </row>
    <row r="106" spans="1:6" x14ac:dyDescent="0.25">
      <c r="B106" s="4" t="s">
        <v>64</v>
      </c>
      <c r="C106" s="5"/>
      <c r="D106" s="5"/>
      <c r="E106" s="5"/>
      <c r="F106" s="22"/>
    </row>
    <row r="107" spans="1:6" x14ac:dyDescent="0.25">
      <c r="B107" s="1"/>
      <c r="C107" s="38" t="s">
        <v>237</v>
      </c>
      <c r="D107" s="39" t="s">
        <v>6</v>
      </c>
      <c r="E107" s="39" t="s">
        <v>236</v>
      </c>
      <c r="F107" s="22"/>
    </row>
    <row r="108" spans="1:6" x14ac:dyDescent="0.25">
      <c r="B108" s="1"/>
      <c r="C108" s="37" t="s">
        <v>65</v>
      </c>
      <c r="D108" t="s">
        <v>231</v>
      </c>
      <c r="E108" s="27" t="s">
        <v>230</v>
      </c>
      <c r="F108" s="22"/>
    </row>
    <row r="109" spans="1:6" x14ac:dyDescent="0.25">
      <c r="B109" s="1"/>
      <c r="C109" s="34" t="s">
        <v>66</v>
      </c>
      <c r="D109" s="35" t="s">
        <v>6</v>
      </c>
      <c r="E109" s="35" t="s">
        <v>232</v>
      </c>
      <c r="F109" s="22"/>
    </row>
    <row r="110" spans="1:6" x14ac:dyDescent="0.25">
      <c r="B110" s="1"/>
      <c r="C110" s="14" t="s">
        <v>67</v>
      </c>
      <c r="D110" t="s">
        <v>6</v>
      </c>
      <c r="E110" t="s">
        <v>235</v>
      </c>
      <c r="F110" s="22"/>
    </row>
    <row r="111" spans="1:6" x14ac:dyDescent="0.25">
      <c r="A111" t="s">
        <v>251</v>
      </c>
      <c r="B111" s="16" t="s">
        <v>92</v>
      </c>
      <c r="C111" s="5"/>
      <c r="D111" s="5"/>
      <c r="E111" s="5"/>
      <c r="F111" s="21"/>
    </row>
    <row r="112" spans="1:6" x14ac:dyDescent="0.25">
      <c r="A112" t="s">
        <v>251</v>
      </c>
      <c r="B112" s="1"/>
      <c r="C112" s="14" t="s">
        <v>93</v>
      </c>
      <c r="D112" t="s">
        <v>6</v>
      </c>
      <c r="E112" t="s">
        <v>7</v>
      </c>
      <c r="F112" s="22" t="s">
        <v>170</v>
      </c>
    </row>
    <row r="113" spans="1:6" x14ac:dyDescent="0.25">
      <c r="A113" t="s">
        <v>251</v>
      </c>
      <c r="B113" s="1"/>
      <c r="C113" s="14" t="s">
        <v>95</v>
      </c>
      <c r="D113" t="s">
        <v>6</v>
      </c>
      <c r="E113" t="s">
        <v>7</v>
      </c>
      <c r="F113" s="22"/>
    </row>
    <row r="114" spans="1:6" x14ac:dyDescent="0.25">
      <c r="A114" t="s">
        <v>251</v>
      </c>
      <c r="B114" s="1"/>
      <c r="C114" s="14" t="s">
        <v>97</v>
      </c>
      <c r="D114" t="s">
        <v>6</v>
      </c>
      <c r="E114" t="s">
        <v>7</v>
      </c>
      <c r="F114" s="22"/>
    </row>
    <row r="115" spans="1:6" x14ac:dyDescent="0.25">
      <c r="A115" t="s">
        <v>251</v>
      </c>
      <c r="B115" s="4" t="s">
        <v>99</v>
      </c>
      <c r="C115" s="5"/>
      <c r="D115" s="5"/>
      <c r="E115" s="5"/>
      <c r="F115" s="21"/>
    </row>
    <row r="116" spans="1:6" x14ac:dyDescent="0.25">
      <c r="B116" s="1"/>
      <c r="C116" s="40" t="s">
        <v>189</v>
      </c>
      <c r="D116" t="s">
        <v>100</v>
      </c>
      <c r="E116" t="s">
        <v>7</v>
      </c>
      <c r="F116" s="22"/>
    </row>
    <row r="117" spans="1:6" x14ac:dyDescent="0.25">
      <c r="A117" t="s">
        <v>251</v>
      </c>
      <c r="B117" s="1"/>
      <c r="C117" s="14" t="s">
        <v>101</v>
      </c>
      <c r="D117" t="s">
        <v>6</v>
      </c>
      <c r="E117" t="s">
        <v>7</v>
      </c>
      <c r="F117" s="22"/>
    </row>
    <row r="118" spans="1:6" x14ac:dyDescent="0.25">
      <c r="A118" t="s">
        <v>251</v>
      </c>
      <c r="B118" s="1"/>
      <c r="C118" s="14" t="s">
        <v>102</v>
      </c>
      <c r="D118" t="s">
        <v>6</v>
      </c>
      <c r="E118" t="s">
        <v>7</v>
      </c>
      <c r="F118" s="22"/>
    </row>
    <row r="119" spans="1:6" x14ac:dyDescent="0.25">
      <c r="A119" t="s">
        <v>251</v>
      </c>
      <c r="B119" s="1"/>
      <c r="C119" s="14" t="s">
        <v>103</v>
      </c>
      <c r="D119" t="s">
        <v>6</v>
      </c>
      <c r="E119" t="s">
        <v>7</v>
      </c>
      <c r="F119" s="22"/>
    </row>
    <row r="120" spans="1:6" x14ac:dyDescent="0.25">
      <c r="A120" t="s">
        <v>251</v>
      </c>
      <c r="B120" s="1"/>
      <c r="C120" s="14" t="s">
        <v>104</v>
      </c>
      <c r="D120" t="s">
        <v>6</v>
      </c>
      <c r="E120" t="s">
        <v>7</v>
      </c>
      <c r="F120" s="22"/>
    </row>
    <row r="121" spans="1:6" x14ac:dyDescent="0.25">
      <c r="B121" s="1"/>
      <c r="C121" s="14" t="s">
        <v>252</v>
      </c>
      <c r="D121" t="s">
        <v>105</v>
      </c>
      <c r="E121" t="s">
        <v>7</v>
      </c>
      <c r="F121" s="22"/>
    </row>
    <row r="122" spans="1:6" x14ac:dyDescent="0.25">
      <c r="B122" s="1"/>
      <c r="C122" s="14" t="s">
        <v>253</v>
      </c>
      <c r="D122" t="s">
        <v>30</v>
      </c>
      <c r="E122" t="s">
        <v>7</v>
      </c>
      <c r="F122" s="22"/>
    </row>
    <row r="123" spans="1:6" ht="16.5" customHeight="1" x14ac:dyDescent="0.25">
      <c r="B123" s="16" t="s">
        <v>106</v>
      </c>
      <c r="C123" s="5"/>
      <c r="D123" s="5"/>
      <c r="E123" s="5"/>
      <c r="F123" s="21"/>
    </row>
    <row r="124" spans="1:6" x14ac:dyDescent="0.25">
      <c r="B124" s="1"/>
      <c r="C124" s="18" t="s">
        <v>180</v>
      </c>
      <c r="D124" t="s">
        <v>147</v>
      </c>
      <c r="E124" t="s">
        <v>7</v>
      </c>
      <c r="F124" s="22" t="s">
        <v>107</v>
      </c>
    </row>
    <row r="125" spans="1:6" x14ac:dyDescent="0.25">
      <c r="B125" s="1"/>
      <c r="C125" s="14" t="s">
        <v>108</v>
      </c>
      <c r="D125" t="s">
        <v>6</v>
      </c>
      <c r="E125" t="s">
        <v>7</v>
      </c>
      <c r="F125" s="22"/>
    </row>
    <row r="126" spans="1:6" x14ac:dyDescent="0.25">
      <c r="B126" s="1"/>
      <c r="C126" s="32" t="s">
        <v>109</v>
      </c>
      <c r="D126" t="s">
        <v>105</v>
      </c>
      <c r="E126" t="s">
        <v>7</v>
      </c>
      <c r="F126" s="22"/>
    </row>
    <row r="127" spans="1:6" x14ac:dyDescent="0.25">
      <c r="B127" s="1"/>
      <c r="C127" s="14" t="s">
        <v>110</v>
      </c>
      <c r="D127" t="s">
        <v>40</v>
      </c>
      <c r="E127" t="s">
        <v>7</v>
      </c>
      <c r="F127" s="22"/>
    </row>
    <row r="128" spans="1:6" x14ac:dyDescent="0.25">
      <c r="B128" s="16" t="s">
        <v>111</v>
      </c>
      <c r="C128" s="5"/>
      <c r="D128" s="5"/>
      <c r="E128" s="5"/>
      <c r="F128" s="21"/>
    </row>
    <row r="129" spans="1:6" x14ac:dyDescent="0.25">
      <c r="B129" s="1"/>
      <c r="C129" s="14" t="s">
        <v>112</v>
      </c>
      <c r="D129" t="s">
        <v>86</v>
      </c>
      <c r="E129" t="s">
        <v>7</v>
      </c>
      <c r="F129" s="22"/>
    </row>
    <row r="130" spans="1:6" x14ac:dyDescent="0.25">
      <c r="A130" t="s">
        <v>251</v>
      </c>
      <c r="B130" s="1"/>
      <c r="C130" s="14" t="s">
        <v>178</v>
      </c>
      <c r="D130" t="s">
        <v>86</v>
      </c>
      <c r="E130" t="s">
        <v>7</v>
      </c>
      <c r="F130" s="22"/>
    </row>
    <row r="131" spans="1:6" x14ac:dyDescent="0.25">
      <c r="A131" t="s">
        <v>251</v>
      </c>
      <c r="B131" s="1"/>
      <c r="C131" s="14" t="s">
        <v>179</v>
      </c>
      <c r="D131" t="s">
        <v>113</v>
      </c>
      <c r="E131" t="s">
        <v>7</v>
      </c>
      <c r="F131" s="22"/>
    </row>
    <row r="132" spans="1:6" x14ac:dyDescent="0.25">
      <c r="A132" t="s">
        <v>251</v>
      </c>
      <c r="B132" s="1"/>
      <c r="C132" s="14" t="s">
        <v>114</v>
      </c>
      <c r="D132" t="s">
        <v>76</v>
      </c>
      <c r="E132" t="s">
        <v>7</v>
      </c>
      <c r="F132" s="22"/>
    </row>
    <row r="133" spans="1:6" ht="15.75" thickBot="1" x14ac:dyDescent="0.3">
      <c r="A133" t="s">
        <v>251</v>
      </c>
      <c r="B133" s="2"/>
      <c r="C133" s="3" t="s">
        <v>115</v>
      </c>
      <c r="D133" s="3" t="s">
        <v>76</v>
      </c>
      <c r="E133" s="3" t="s">
        <v>7</v>
      </c>
      <c r="F133" s="25"/>
    </row>
    <row r="235" spans="3:3" x14ac:dyDescent="0.25">
      <c r="C235" s="7" t="s">
        <v>19</v>
      </c>
    </row>
    <row r="236" spans="3:3" x14ac:dyDescent="0.25">
      <c r="C236" t="s">
        <v>5</v>
      </c>
    </row>
    <row r="237" spans="3:3" x14ac:dyDescent="0.25">
      <c r="C237" t="s">
        <v>116</v>
      </c>
    </row>
    <row r="238" spans="3:3" x14ac:dyDescent="0.25">
      <c r="C238" t="s">
        <v>117</v>
      </c>
    </row>
    <row r="239" spans="3:3" x14ac:dyDescent="0.25">
      <c r="C239" t="s">
        <v>118</v>
      </c>
    </row>
    <row r="240" spans="3:3" x14ac:dyDescent="0.25">
      <c r="C240" t="s">
        <v>119</v>
      </c>
    </row>
    <row r="241" spans="3:3" x14ac:dyDescent="0.25">
      <c r="C241" t="s">
        <v>120</v>
      </c>
    </row>
    <row r="242" spans="3:3" x14ac:dyDescent="0.25">
      <c r="C242" t="s">
        <v>121</v>
      </c>
    </row>
    <row r="243" spans="3:3" x14ac:dyDescent="0.25">
      <c r="C243" t="s">
        <v>122</v>
      </c>
    </row>
    <row r="244" spans="3:3" x14ac:dyDescent="0.25">
      <c r="C244" t="s">
        <v>123</v>
      </c>
    </row>
    <row r="245" spans="3:3" x14ac:dyDescent="0.25">
      <c r="C245" t="s">
        <v>124</v>
      </c>
    </row>
    <row r="246" spans="3:3" x14ac:dyDescent="0.25">
      <c r="C246" t="s">
        <v>125</v>
      </c>
    </row>
    <row r="249" spans="3:3" x14ac:dyDescent="0.25">
      <c r="C249" s="6" t="s">
        <v>38</v>
      </c>
    </row>
    <row r="250" spans="3:3" x14ac:dyDescent="0.25">
      <c r="C250" t="s">
        <v>126</v>
      </c>
    </row>
    <row r="251" spans="3:3" x14ac:dyDescent="0.25">
      <c r="C251" t="s">
        <v>127</v>
      </c>
    </row>
    <row r="252" spans="3:3" x14ac:dyDescent="0.25">
      <c r="C252" t="s">
        <v>128</v>
      </c>
    </row>
    <row r="255" spans="3:3" x14ac:dyDescent="0.25">
      <c r="C255" s="6" t="s">
        <v>129</v>
      </c>
    </row>
    <row r="256" spans="3:3" x14ac:dyDescent="0.25">
      <c r="C256" t="s">
        <v>130</v>
      </c>
    </row>
    <row r="257" spans="3:3" x14ac:dyDescent="0.25">
      <c r="C257" t="s">
        <v>131</v>
      </c>
    </row>
    <row r="258" spans="3:3" x14ac:dyDescent="0.25">
      <c r="C258" t="s">
        <v>132</v>
      </c>
    </row>
    <row r="261" spans="3:3" x14ac:dyDescent="0.25">
      <c r="C261" s="6" t="s">
        <v>81</v>
      </c>
    </row>
    <row r="262" spans="3:3" x14ac:dyDescent="0.25">
      <c r="C262" t="s">
        <v>133</v>
      </c>
    </row>
    <row r="263" spans="3:3" x14ac:dyDescent="0.25">
      <c r="C263" t="s">
        <v>134</v>
      </c>
    </row>
    <row r="264" spans="3:3" x14ac:dyDescent="0.25">
      <c r="C264" t="s">
        <v>135</v>
      </c>
    </row>
    <row r="265" spans="3:3" x14ac:dyDescent="0.25">
      <c r="C265" t="s">
        <v>136</v>
      </c>
    </row>
    <row r="267" spans="3:3" x14ac:dyDescent="0.25">
      <c r="C267" s="6" t="s">
        <v>82</v>
      </c>
    </row>
    <row r="268" spans="3:3" x14ac:dyDescent="0.25">
      <c r="C268" t="s">
        <v>137</v>
      </c>
    </row>
    <row r="269" spans="3:3" x14ac:dyDescent="0.25">
      <c r="C269" t="s">
        <v>138</v>
      </c>
    </row>
    <row r="270" spans="3:3" x14ac:dyDescent="0.25">
      <c r="C270" t="s">
        <v>139</v>
      </c>
    </row>
    <row r="271" spans="3:3" x14ac:dyDescent="0.25">
      <c r="C271" t="s">
        <v>140</v>
      </c>
    </row>
    <row r="273" spans="3:3" x14ac:dyDescent="0.25">
      <c r="C273" s="6" t="s">
        <v>83</v>
      </c>
    </row>
    <row r="274" spans="3:3" x14ac:dyDescent="0.25">
      <c r="C274" t="s">
        <v>141</v>
      </c>
    </row>
    <row r="275" spans="3:3" x14ac:dyDescent="0.25">
      <c r="C275" t="s">
        <v>142</v>
      </c>
    </row>
    <row r="276" spans="3:3" x14ac:dyDescent="0.25">
      <c r="C276" t="s">
        <v>143</v>
      </c>
    </row>
    <row r="277" spans="3:3" x14ac:dyDescent="0.25">
      <c r="C277" t="s">
        <v>144</v>
      </c>
    </row>
    <row r="280" spans="3:3" x14ac:dyDescent="0.25">
      <c r="C280" s="6" t="s">
        <v>84</v>
      </c>
    </row>
    <row r="281" spans="3:3" x14ac:dyDescent="0.25">
      <c r="C281" t="s">
        <v>145</v>
      </c>
    </row>
    <row r="282" spans="3:3" x14ac:dyDescent="0.25">
      <c r="C282" t="s">
        <v>146</v>
      </c>
    </row>
    <row r="284" spans="3:3" x14ac:dyDescent="0.25">
      <c r="C284" s="6" t="s">
        <v>87</v>
      </c>
    </row>
    <row r="285" spans="3:3" x14ac:dyDescent="0.25">
      <c r="C285" t="s">
        <v>93</v>
      </c>
    </row>
    <row r="286" spans="3:3" x14ac:dyDescent="0.25">
      <c r="C286" t="s">
        <v>95</v>
      </c>
    </row>
    <row r="287" spans="3:3" x14ac:dyDescent="0.25">
      <c r="C287" t="s">
        <v>97</v>
      </c>
    </row>
    <row r="290" spans="3:3" x14ac:dyDescent="0.25">
      <c r="C290" s="6" t="s">
        <v>93</v>
      </c>
    </row>
    <row r="291" spans="3:3" x14ac:dyDescent="0.25">
      <c r="C291" t="s">
        <v>94</v>
      </c>
    </row>
    <row r="292" spans="3:3" x14ac:dyDescent="0.25">
      <c r="C292" t="s">
        <v>96</v>
      </c>
    </row>
    <row r="293" spans="3:3" x14ac:dyDescent="0.25">
      <c r="C293" t="s">
        <v>98</v>
      </c>
    </row>
    <row r="294" spans="3:3" x14ac:dyDescent="0.25">
      <c r="C294" s="6" t="s">
        <v>95</v>
      </c>
    </row>
    <row r="295" spans="3:3" x14ac:dyDescent="0.25">
      <c r="C295" t="s">
        <v>94</v>
      </c>
    </row>
    <row r="296" spans="3:3" x14ac:dyDescent="0.25">
      <c r="C296" t="s">
        <v>96</v>
      </c>
    </row>
    <row r="297" spans="3:3" x14ac:dyDescent="0.25">
      <c r="C297" t="s">
        <v>98</v>
      </c>
    </row>
    <row r="298" spans="3:3" x14ac:dyDescent="0.25">
      <c r="C298" s="6" t="s">
        <v>97</v>
      </c>
    </row>
    <row r="299" spans="3:3" x14ac:dyDescent="0.25">
      <c r="C299" t="s">
        <v>94</v>
      </c>
    </row>
    <row r="300" spans="3:3" x14ac:dyDescent="0.25">
      <c r="C300" t="s">
        <v>96</v>
      </c>
    </row>
    <row r="301" spans="3:3" x14ac:dyDescent="0.25">
      <c r="C301" t="s">
        <v>98</v>
      </c>
    </row>
  </sheetData>
  <hyperlinks>
    <hyperlink ref="F85" r:id="rId1" xr:uid="{1CFB8A77-393D-498F-9162-94D47E0A4B26}"/>
    <hyperlink ref="F84" r:id="rId2" xr:uid="{FFBAA748-917D-4BFF-9FA1-1B43724D038E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6441-B66F-4A06-9FD3-56819F44CD4B}">
  <dimension ref="A1:N270"/>
  <sheetViews>
    <sheetView tabSelected="1" zoomScale="85" zoomScaleNormal="85" workbookViewId="0">
      <pane xSplit="10" ySplit="3" topLeftCell="K4" activePane="bottomRight" state="frozen"/>
      <selection pane="topRight" activeCell="C1" sqref="C1"/>
      <selection pane="bottomLeft" activeCell="A3" sqref="A3"/>
      <selection pane="bottomRight" activeCell="O1" sqref="O1:O1048576"/>
    </sheetView>
  </sheetViews>
  <sheetFormatPr baseColWidth="10" defaultColWidth="9.140625" defaultRowHeight="15" x14ac:dyDescent="0.25"/>
  <cols>
    <col min="1" max="1" width="3.140625" style="67" customWidth="1"/>
    <col min="2" max="2" width="11.5703125" customWidth="1"/>
    <col min="3" max="6" width="5.42578125" customWidth="1"/>
    <col min="7" max="7" width="34.28515625" customWidth="1"/>
    <col min="8" max="8" width="9.140625" style="67" customWidth="1"/>
    <col min="9" max="9" width="3.42578125" customWidth="1"/>
    <col min="10" max="10" width="79" customWidth="1"/>
    <col min="11" max="11" width="32.42578125" customWidth="1"/>
    <col min="12" max="12" width="14.42578125" customWidth="1"/>
    <col min="13" max="13" width="43.85546875" customWidth="1"/>
    <col min="14" max="14" width="95.28515625" style="13" customWidth="1"/>
  </cols>
  <sheetData>
    <row r="1" spans="1:14" ht="15" customHeight="1" thickBot="1" x14ac:dyDescent="0.3">
      <c r="A1" s="70"/>
      <c r="B1" s="151" t="s">
        <v>500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</row>
    <row r="2" spans="1:14" ht="15" customHeight="1" x14ac:dyDescent="0.25">
      <c r="A2" s="71"/>
      <c r="B2" s="147" t="s">
        <v>563</v>
      </c>
      <c r="C2" s="147" t="s">
        <v>412</v>
      </c>
      <c r="D2" s="148" t="s">
        <v>512</v>
      </c>
      <c r="E2" s="148"/>
      <c r="F2" s="148"/>
      <c r="G2" s="148"/>
      <c r="H2" s="148"/>
      <c r="I2" s="9" t="s">
        <v>497</v>
      </c>
      <c r="J2" s="10"/>
      <c r="K2" s="10"/>
      <c r="L2" s="10"/>
      <c r="M2" s="10"/>
      <c r="N2" s="58" t="s">
        <v>498</v>
      </c>
    </row>
    <row r="3" spans="1:14" ht="15" customHeight="1" x14ac:dyDescent="0.25">
      <c r="A3" s="71" t="s">
        <v>396</v>
      </c>
      <c r="B3" s="147"/>
      <c r="C3" s="147"/>
      <c r="D3" s="71" t="s">
        <v>336</v>
      </c>
      <c r="E3" s="104" t="s">
        <v>483</v>
      </c>
      <c r="F3" s="104" t="s">
        <v>484</v>
      </c>
      <c r="G3" s="57" t="s">
        <v>513</v>
      </c>
      <c r="H3" s="107" t="s">
        <v>537</v>
      </c>
      <c r="I3" s="8"/>
      <c r="J3" s="11" t="s">
        <v>506</v>
      </c>
      <c r="K3" s="11" t="s">
        <v>508</v>
      </c>
      <c r="L3" s="11" t="s">
        <v>507</v>
      </c>
      <c r="M3" s="11" t="s">
        <v>509</v>
      </c>
      <c r="N3" s="41" t="s">
        <v>499</v>
      </c>
    </row>
    <row r="4" spans="1:14" ht="15" customHeight="1" x14ac:dyDescent="0.25">
      <c r="A4" s="90"/>
      <c r="B4" s="35"/>
      <c r="C4" s="35"/>
      <c r="D4" s="8"/>
      <c r="E4" s="35"/>
      <c r="F4" s="35"/>
      <c r="G4" s="35"/>
      <c r="H4" s="132"/>
      <c r="I4" s="8" t="s">
        <v>470</v>
      </c>
      <c r="J4" s="35"/>
      <c r="K4" s="35"/>
      <c r="L4" s="35"/>
      <c r="M4" s="35"/>
      <c r="N4" s="42"/>
    </row>
    <row r="5" spans="1:14" ht="15" customHeight="1" x14ac:dyDescent="0.25">
      <c r="A5" s="72">
        <v>1</v>
      </c>
      <c r="B5" s="68" t="s">
        <v>539</v>
      </c>
      <c r="C5" s="68"/>
      <c r="D5" s="118" t="s">
        <v>429</v>
      </c>
      <c r="E5" s="119" t="s">
        <v>429</v>
      </c>
      <c r="F5" s="119" t="s">
        <v>429</v>
      </c>
      <c r="G5" s="119" t="s">
        <v>429</v>
      </c>
      <c r="H5" s="138" t="s">
        <v>542</v>
      </c>
      <c r="I5" s="1"/>
      <c r="J5" t="s">
        <v>424</v>
      </c>
      <c r="K5" s="27" t="s">
        <v>425</v>
      </c>
      <c r="L5" t="s">
        <v>6</v>
      </c>
      <c r="M5" t="s">
        <v>7</v>
      </c>
      <c r="N5" s="45" t="s">
        <v>187</v>
      </c>
    </row>
    <row r="6" spans="1:14" ht="15" customHeight="1" x14ac:dyDescent="0.25">
      <c r="A6" s="67">
        <f>A5+1</f>
        <v>2</v>
      </c>
      <c r="B6" s="68" t="s">
        <v>539</v>
      </c>
      <c r="C6" s="17"/>
      <c r="D6" s="118" t="s">
        <v>429</v>
      </c>
      <c r="E6" s="119" t="s">
        <v>429</v>
      </c>
      <c r="F6" s="119" t="s">
        <v>429</v>
      </c>
      <c r="G6" s="119" t="s">
        <v>429</v>
      </c>
      <c r="H6" s="138" t="s">
        <v>542</v>
      </c>
      <c r="I6" s="122"/>
      <c r="J6" s="26" t="s">
        <v>526</v>
      </c>
      <c r="K6" s="64" t="s">
        <v>524</v>
      </c>
      <c r="L6" s="26" t="s">
        <v>6</v>
      </c>
      <c r="M6" s="26" t="s">
        <v>7</v>
      </c>
      <c r="N6" s="48" t="s">
        <v>528</v>
      </c>
    </row>
    <row r="7" spans="1:14" ht="15" customHeight="1" x14ac:dyDescent="0.25">
      <c r="A7" s="96">
        <f>A6+1</f>
        <v>3</v>
      </c>
      <c r="B7" s="97" t="s">
        <v>539</v>
      </c>
      <c r="C7" s="98"/>
      <c r="D7" s="120" t="s">
        <v>429</v>
      </c>
      <c r="E7" s="121" t="s">
        <v>429</v>
      </c>
      <c r="F7" s="121" t="s">
        <v>429</v>
      </c>
      <c r="G7" s="121" t="s">
        <v>429</v>
      </c>
      <c r="H7" s="138" t="s">
        <v>542</v>
      </c>
      <c r="I7" s="81"/>
      <c r="J7" s="80" t="s">
        <v>0</v>
      </c>
      <c r="K7" s="99" t="s">
        <v>421</v>
      </c>
      <c r="L7" s="80" t="s">
        <v>6</v>
      </c>
      <c r="M7" s="80" t="s">
        <v>7</v>
      </c>
      <c r="N7" s="45" t="s">
        <v>185</v>
      </c>
    </row>
    <row r="8" spans="1:14" ht="15" customHeight="1" x14ac:dyDescent="0.25">
      <c r="A8" s="96">
        <f t="shared" ref="A8:A15" si="0">A7+1</f>
        <v>4</v>
      </c>
      <c r="B8" s="97" t="s">
        <v>539</v>
      </c>
      <c r="C8" s="98"/>
      <c r="D8" s="120" t="s">
        <v>429</v>
      </c>
      <c r="E8" s="121" t="s">
        <v>429</v>
      </c>
      <c r="F8" s="121" t="s">
        <v>429</v>
      </c>
      <c r="G8" s="121" t="s">
        <v>429</v>
      </c>
      <c r="H8" s="138" t="s">
        <v>542</v>
      </c>
      <c r="I8" s="81"/>
      <c r="J8" s="80" t="s">
        <v>184</v>
      </c>
      <c r="K8" s="99" t="s">
        <v>421</v>
      </c>
      <c r="L8" s="80" t="s">
        <v>6</v>
      </c>
      <c r="M8" s="80" t="s">
        <v>7</v>
      </c>
      <c r="N8" s="45" t="s">
        <v>262</v>
      </c>
    </row>
    <row r="9" spans="1:14" ht="15" customHeight="1" x14ac:dyDescent="0.25">
      <c r="A9" s="67">
        <f t="shared" si="0"/>
        <v>5</v>
      </c>
      <c r="B9" s="102"/>
      <c r="C9" s="68"/>
      <c r="D9" s="118" t="s">
        <v>429</v>
      </c>
      <c r="E9" s="119" t="s">
        <v>429</v>
      </c>
      <c r="F9" s="119" t="s">
        <v>429</v>
      </c>
      <c r="G9" s="119" t="s">
        <v>429</v>
      </c>
      <c r="H9" s="138" t="s">
        <v>542</v>
      </c>
      <c r="I9" s="1"/>
      <c r="J9" t="s">
        <v>449</v>
      </c>
      <c r="K9" s="27" t="s">
        <v>451</v>
      </c>
      <c r="L9" t="s">
        <v>6</v>
      </c>
      <c r="M9" t="s">
        <v>7</v>
      </c>
      <c r="N9" s="45" t="s">
        <v>453</v>
      </c>
    </row>
    <row r="10" spans="1:14" ht="15" customHeight="1" x14ac:dyDescent="0.25">
      <c r="A10" s="67">
        <f t="shared" si="0"/>
        <v>6</v>
      </c>
      <c r="B10" s="102"/>
      <c r="C10" s="68"/>
      <c r="D10" s="118" t="s">
        <v>429</v>
      </c>
      <c r="E10" s="119" t="s">
        <v>429</v>
      </c>
      <c r="F10" s="119" t="s">
        <v>429</v>
      </c>
      <c r="G10" s="119" t="s">
        <v>429</v>
      </c>
      <c r="H10" s="138" t="s">
        <v>542</v>
      </c>
      <c r="I10" s="1"/>
      <c r="J10" t="s">
        <v>450</v>
      </c>
      <c r="K10" t="s">
        <v>381</v>
      </c>
      <c r="L10" t="s">
        <v>6</v>
      </c>
      <c r="M10" t="s">
        <v>7</v>
      </c>
      <c r="N10" s="45" t="s">
        <v>452</v>
      </c>
    </row>
    <row r="11" spans="1:14" ht="15" customHeight="1" x14ac:dyDescent="0.25">
      <c r="A11" s="67">
        <f t="shared" si="0"/>
        <v>7</v>
      </c>
      <c r="B11" s="68" t="s">
        <v>539</v>
      </c>
      <c r="C11" s="92" t="s">
        <v>562</v>
      </c>
      <c r="D11" s="105" t="s">
        <v>486</v>
      </c>
      <c r="E11" s="106" t="s">
        <v>487</v>
      </c>
      <c r="F11" s="106" t="s">
        <v>488</v>
      </c>
      <c r="G11" t="s">
        <v>485</v>
      </c>
      <c r="H11" s="131" t="s">
        <v>538</v>
      </c>
      <c r="I11" s="1"/>
      <c r="J11" t="s">
        <v>9</v>
      </c>
      <c r="K11" t="s">
        <v>381</v>
      </c>
      <c r="L11" t="s">
        <v>6</v>
      </c>
      <c r="M11" t="s">
        <v>7</v>
      </c>
      <c r="N11" s="45" t="s">
        <v>150</v>
      </c>
    </row>
    <row r="12" spans="1:14" ht="15" customHeight="1" x14ac:dyDescent="0.25">
      <c r="A12" s="67">
        <f t="shared" si="0"/>
        <v>8</v>
      </c>
      <c r="C12" s="92" t="s">
        <v>562</v>
      </c>
      <c r="D12" s="105" t="s">
        <v>489</v>
      </c>
      <c r="E12" s="106" t="s">
        <v>487</v>
      </c>
      <c r="F12" s="106" t="s">
        <v>490</v>
      </c>
      <c r="G12" t="s">
        <v>491</v>
      </c>
      <c r="H12" s="131" t="s">
        <v>538</v>
      </c>
      <c r="I12" s="1"/>
      <c r="J12" t="s">
        <v>259</v>
      </c>
      <c r="K12" t="s">
        <v>381</v>
      </c>
      <c r="L12" t="s">
        <v>6</v>
      </c>
      <c r="M12" t="s">
        <v>7</v>
      </c>
      <c r="N12" s="45" t="s">
        <v>149</v>
      </c>
    </row>
    <row r="13" spans="1:14" ht="15" customHeight="1" x14ac:dyDescent="0.25">
      <c r="A13" s="67">
        <f t="shared" si="0"/>
        <v>9</v>
      </c>
      <c r="C13" s="92" t="s">
        <v>562</v>
      </c>
      <c r="D13" s="118" t="s">
        <v>429</v>
      </c>
      <c r="E13" s="119" t="s">
        <v>429</v>
      </c>
      <c r="F13" s="119" t="s">
        <v>429</v>
      </c>
      <c r="G13" s="119" t="s">
        <v>429</v>
      </c>
      <c r="H13" s="138" t="s">
        <v>542</v>
      </c>
      <c r="I13" s="1"/>
      <c r="J13" t="s">
        <v>10</v>
      </c>
      <c r="K13" t="s">
        <v>381</v>
      </c>
      <c r="L13" t="s">
        <v>6</v>
      </c>
      <c r="M13" t="s">
        <v>7</v>
      </c>
      <c r="N13" s="45" t="s">
        <v>151</v>
      </c>
    </row>
    <row r="14" spans="1:14" ht="15" customHeight="1" x14ac:dyDescent="0.25">
      <c r="A14" s="67">
        <f t="shared" si="0"/>
        <v>10</v>
      </c>
      <c r="B14" s="68" t="s">
        <v>539</v>
      </c>
      <c r="C14" s="92" t="s">
        <v>562</v>
      </c>
      <c r="D14" s="118" t="s">
        <v>429</v>
      </c>
      <c r="E14" s="119" t="s">
        <v>429</v>
      </c>
      <c r="F14" s="119" t="s">
        <v>429</v>
      </c>
      <c r="G14" s="119" t="s">
        <v>429</v>
      </c>
      <c r="H14" s="138" t="s">
        <v>542</v>
      </c>
      <c r="I14" s="1"/>
      <c r="J14" s="26" t="s">
        <v>514</v>
      </c>
      <c r="K14" t="s">
        <v>381</v>
      </c>
      <c r="L14" t="s">
        <v>6</v>
      </c>
      <c r="M14" s="26" t="s">
        <v>7</v>
      </c>
      <c r="N14" s="45" t="s">
        <v>384</v>
      </c>
    </row>
    <row r="15" spans="1:14" ht="15" customHeight="1" x14ac:dyDescent="0.25">
      <c r="A15" s="67">
        <f t="shared" si="0"/>
        <v>11</v>
      </c>
      <c r="B15" s="68" t="s">
        <v>539</v>
      </c>
      <c r="C15" s="68"/>
      <c r="D15" s="118" t="s">
        <v>429</v>
      </c>
      <c r="E15" s="119" t="s">
        <v>429</v>
      </c>
      <c r="F15" s="119" t="s">
        <v>429</v>
      </c>
      <c r="G15" s="119" t="s">
        <v>429</v>
      </c>
      <c r="H15" s="138" t="s">
        <v>542</v>
      </c>
      <c r="I15" s="1"/>
      <c r="J15" s="26" t="s">
        <v>188</v>
      </c>
      <c r="K15" t="s">
        <v>381</v>
      </c>
      <c r="L15" t="s">
        <v>6</v>
      </c>
      <c r="M15" s="26" t="s">
        <v>7</v>
      </c>
      <c r="N15" s="45" t="s">
        <v>385</v>
      </c>
    </row>
    <row r="16" spans="1:14" ht="15" customHeight="1" x14ac:dyDescent="0.25">
      <c r="A16" s="90"/>
      <c r="B16" s="35"/>
      <c r="C16" s="35"/>
      <c r="D16" s="8"/>
      <c r="E16" s="35"/>
      <c r="F16" s="35"/>
      <c r="G16" s="35"/>
      <c r="H16" s="132"/>
      <c r="I16" s="8" t="s">
        <v>471</v>
      </c>
      <c r="J16" s="35"/>
      <c r="K16" s="35"/>
      <c r="L16" s="35"/>
      <c r="M16" s="35"/>
      <c r="N16" s="42"/>
    </row>
    <row r="17" spans="1:14" ht="15" customHeight="1" x14ac:dyDescent="0.25">
      <c r="A17" s="72">
        <f>A15+1</f>
        <v>12</v>
      </c>
      <c r="B17" s="68" t="s">
        <v>539</v>
      </c>
      <c r="D17" s="118" t="s">
        <v>429</v>
      </c>
      <c r="E17" s="119" t="s">
        <v>429</v>
      </c>
      <c r="F17" s="119" t="s">
        <v>429</v>
      </c>
      <c r="G17" s="119" t="s">
        <v>429</v>
      </c>
      <c r="H17" s="138" t="s">
        <v>542</v>
      </c>
      <c r="I17" s="1"/>
      <c r="J17" s="26" t="s">
        <v>430</v>
      </c>
      <c r="K17" s="27" t="s">
        <v>443</v>
      </c>
      <c r="L17" t="s">
        <v>6</v>
      </c>
      <c r="M17" t="s">
        <v>7</v>
      </c>
      <c r="N17" s="45" t="s">
        <v>444</v>
      </c>
    </row>
    <row r="18" spans="1:14" ht="15" customHeight="1" x14ac:dyDescent="0.25">
      <c r="A18" s="108">
        <f>A17+1</f>
        <v>13</v>
      </c>
      <c r="B18" s="68" t="s">
        <v>539</v>
      </c>
      <c r="C18" s="92" t="s">
        <v>562</v>
      </c>
      <c r="D18" s="112" t="s">
        <v>515</v>
      </c>
      <c r="E18" s="113" t="s">
        <v>493</v>
      </c>
      <c r="F18" s="113" t="s">
        <v>488</v>
      </c>
      <c r="G18" s="26" t="s">
        <v>565</v>
      </c>
      <c r="H18" s="141" t="s">
        <v>538</v>
      </c>
      <c r="I18" s="142"/>
      <c r="J18" t="s">
        <v>190</v>
      </c>
      <c r="K18" s="15" t="s">
        <v>411</v>
      </c>
      <c r="L18" s="26" t="s">
        <v>544</v>
      </c>
      <c r="M18" s="26" t="s">
        <v>7</v>
      </c>
      <c r="N18" s="43" t="s">
        <v>586</v>
      </c>
    </row>
    <row r="19" spans="1:14" ht="15" customHeight="1" x14ac:dyDescent="0.25">
      <c r="A19" s="72">
        <f>A18+1</f>
        <v>14</v>
      </c>
      <c r="B19" s="68" t="s">
        <v>539</v>
      </c>
      <c r="C19" s="92"/>
      <c r="D19" s="105" t="s">
        <v>515</v>
      </c>
      <c r="E19" s="106" t="s">
        <v>493</v>
      </c>
      <c r="F19" s="113" t="s">
        <v>488</v>
      </c>
      <c r="G19" t="s">
        <v>516</v>
      </c>
      <c r="H19" s="131" t="s">
        <v>538</v>
      </c>
      <c r="I19" s="1"/>
      <c r="J19" t="s">
        <v>16</v>
      </c>
      <c r="K19" t="s">
        <v>381</v>
      </c>
      <c r="L19" t="s">
        <v>6</v>
      </c>
      <c r="M19" t="s">
        <v>7</v>
      </c>
      <c r="N19" s="45" t="s">
        <v>156</v>
      </c>
    </row>
    <row r="20" spans="1:14" ht="15" customHeight="1" x14ac:dyDescent="0.25">
      <c r="A20" s="72">
        <f>A19+1</f>
        <v>15</v>
      </c>
      <c r="B20" s="69"/>
      <c r="C20" s="92"/>
      <c r="D20" s="105" t="s">
        <v>515</v>
      </c>
      <c r="E20" s="106" t="s">
        <v>493</v>
      </c>
      <c r="F20" s="106" t="s">
        <v>488</v>
      </c>
      <c r="G20" t="s">
        <v>543</v>
      </c>
      <c r="H20" s="131" t="s">
        <v>538</v>
      </c>
      <c r="I20" s="1"/>
      <c r="J20" t="s">
        <v>17</v>
      </c>
      <c r="K20" t="s">
        <v>381</v>
      </c>
      <c r="L20" t="s">
        <v>6</v>
      </c>
      <c r="M20" t="s">
        <v>7</v>
      </c>
      <c r="N20" s="43" t="s">
        <v>428</v>
      </c>
    </row>
    <row r="21" spans="1:14" ht="15" customHeight="1" x14ac:dyDescent="0.25">
      <c r="A21" s="72">
        <f>A20+1</f>
        <v>16</v>
      </c>
      <c r="D21" s="105" t="s">
        <v>515</v>
      </c>
      <c r="E21" s="106" t="s">
        <v>487</v>
      </c>
      <c r="F21" s="106" t="s">
        <v>488</v>
      </c>
      <c r="G21" s="26" t="s">
        <v>564</v>
      </c>
      <c r="H21" s="131" t="s">
        <v>538</v>
      </c>
      <c r="I21" s="1"/>
      <c r="J21" t="s">
        <v>394</v>
      </c>
      <c r="K21" t="s">
        <v>381</v>
      </c>
      <c r="L21" t="s">
        <v>6</v>
      </c>
      <c r="M21" t="s">
        <v>7</v>
      </c>
      <c r="N21" s="45" t="s">
        <v>153</v>
      </c>
    </row>
    <row r="22" spans="1:14" ht="15" customHeight="1" x14ac:dyDescent="0.25">
      <c r="A22" s="72">
        <f>A21+1</f>
        <v>17</v>
      </c>
      <c r="D22" s="118" t="s">
        <v>429</v>
      </c>
      <c r="E22" s="119" t="s">
        <v>429</v>
      </c>
      <c r="F22" s="119" t="s">
        <v>429</v>
      </c>
      <c r="G22" s="119" t="s">
        <v>429</v>
      </c>
      <c r="H22" s="138" t="s">
        <v>542</v>
      </c>
      <c r="I22" s="1"/>
      <c r="J22" s="27" t="s">
        <v>340</v>
      </c>
      <c r="K22" s="27" t="s">
        <v>422</v>
      </c>
      <c r="L22" s="27" t="s">
        <v>6</v>
      </c>
      <c r="M22" s="27" t="s">
        <v>193</v>
      </c>
      <c r="N22" s="45" t="s">
        <v>255</v>
      </c>
    </row>
    <row r="23" spans="1:14" ht="15" customHeight="1" x14ac:dyDescent="0.25">
      <c r="A23" s="90"/>
      <c r="B23" s="35"/>
      <c r="C23" s="35"/>
      <c r="D23" s="8"/>
      <c r="E23" s="35"/>
      <c r="F23" s="35"/>
      <c r="G23" s="35"/>
      <c r="H23" s="132"/>
      <c r="I23" s="103" t="s">
        <v>481</v>
      </c>
      <c r="J23" s="35"/>
      <c r="K23" s="35"/>
      <c r="L23" s="35"/>
      <c r="M23" s="35"/>
      <c r="N23" s="42"/>
    </row>
    <row r="24" spans="1:14" ht="15" customHeight="1" x14ac:dyDescent="0.25">
      <c r="A24" s="72">
        <f>A22+1</f>
        <v>18</v>
      </c>
      <c r="B24" s="68" t="s">
        <v>539</v>
      </c>
      <c r="C24" s="68"/>
      <c r="D24" s="118" t="s">
        <v>429</v>
      </c>
      <c r="E24" s="119" t="s">
        <v>429</v>
      </c>
      <c r="F24" s="119" t="s">
        <v>429</v>
      </c>
      <c r="G24" s="119" t="s">
        <v>429</v>
      </c>
      <c r="H24" s="138" t="s">
        <v>542</v>
      </c>
      <c r="I24" s="1"/>
      <c r="J24" s="26" t="s">
        <v>341</v>
      </c>
      <c r="K24" t="s">
        <v>381</v>
      </c>
      <c r="L24" t="s">
        <v>6</v>
      </c>
      <c r="M24" t="s">
        <v>7</v>
      </c>
      <c r="N24" s="43" t="s">
        <v>374</v>
      </c>
    </row>
    <row r="25" spans="1:14" ht="15" customHeight="1" x14ac:dyDescent="0.25">
      <c r="A25" s="72">
        <f>A24+1</f>
        <v>19</v>
      </c>
      <c r="B25" s="68" t="s">
        <v>539</v>
      </c>
      <c r="C25" s="92" t="s">
        <v>562</v>
      </c>
      <c r="D25" s="105" t="s">
        <v>489</v>
      </c>
      <c r="E25" s="106" t="s">
        <v>487</v>
      </c>
      <c r="F25" s="106" t="s">
        <v>490</v>
      </c>
      <c r="G25" s="26" t="s">
        <v>403</v>
      </c>
      <c r="H25" s="133" t="s">
        <v>540</v>
      </c>
      <c r="I25" s="1"/>
      <c r="J25" t="s">
        <v>404</v>
      </c>
      <c r="K25" t="s">
        <v>381</v>
      </c>
      <c r="L25" t="s">
        <v>6</v>
      </c>
      <c r="M25" t="s">
        <v>7</v>
      </c>
      <c r="N25" s="45" t="s">
        <v>342</v>
      </c>
    </row>
    <row r="26" spans="1:14" ht="15" customHeight="1" x14ac:dyDescent="0.25">
      <c r="A26" s="72">
        <f t="shared" ref="A26:A36" si="1">A25+1</f>
        <v>20</v>
      </c>
      <c r="C26" s="92" t="s">
        <v>562</v>
      </c>
      <c r="D26" s="105" t="s">
        <v>489</v>
      </c>
      <c r="E26" s="106" t="s">
        <v>487</v>
      </c>
      <c r="F26" s="106" t="s">
        <v>490</v>
      </c>
      <c r="G26" s="26" t="s">
        <v>546</v>
      </c>
      <c r="H26" s="131" t="s">
        <v>538</v>
      </c>
      <c r="I26" s="1"/>
      <c r="J26" t="s">
        <v>217</v>
      </c>
      <c r="K26" s="14" t="s">
        <v>411</v>
      </c>
      <c r="L26" t="s">
        <v>6</v>
      </c>
      <c r="M26" t="s">
        <v>7</v>
      </c>
      <c r="N26" s="45" t="s">
        <v>432</v>
      </c>
    </row>
    <row r="27" spans="1:14" ht="15" customHeight="1" x14ac:dyDescent="0.25">
      <c r="A27" s="72">
        <f t="shared" si="1"/>
        <v>21</v>
      </c>
      <c r="C27" s="92" t="s">
        <v>562</v>
      </c>
      <c r="D27" s="105" t="s">
        <v>515</v>
      </c>
      <c r="E27" s="106" t="s">
        <v>493</v>
      </c>
      <c r="F27" s="106" t="s">
        <v>488</v>
      </c>
      <c r="G27" t="s">
        <v>460</v>
      </c>
      <c r="H27" s="131" t="s">
        <v>538</v>
      </c>
      <c r="I27" s="1"/>
      <c r="J27" t="s">
        <v>458</v>
      </c>
      <c r="K27" s="14" t="s">
        <v>411</v>
      </c>
      <c r="L27" t="s">
        <v>413</v>
      </c>
      <c r="M27" t="s">
        <v>7</v>
      </c>
      <c r="N27" s="63" t="s">
        <v>584</v>
      </c>
    </row>
    <row r="28" spans="1:14" ht="15" customHeight="1" x14ac:dyDescent="0.25">
      <c r="A28" s="72">
        <f t="shared" si="1"/>
        <v>22</v>
      </c>
      <c r="C28" s="92" t="s">
        <v>562</v>
      </c>
      <c r="D28" s="105" t="s">
        <v>515</v>
      </c>
      <c r="E28" s="106" t="s">
        <v>487</v>
      </c>
      <c r="F28" s="106" t="s">
        <v>488</v>
      </c>
      <c r="G28" t="s">
        <v>461</v>
      </c>
      <c r="H28" s="131" t="s">
        <v>538</v>
      </c>
      <c r="I28" s="1"/>
      <c r="J28" t="s">
        <v>459</v>
      </c>
      <c r="K28" s="14" t="s">
        <v>411</v>
      </c>
      <c r="L28" t="s">
        <v>462</v>
      </c>
      <c r="M28" t="s">
        <v>7</v>
      </c>
      <c r="N28" s="22"/>
    </row>
    <row r="29" spans="1:14" ht="15" customHeight="1" x14ac:dyDescent="0.25">
      <c r="A29" s="72">
        <f t="shared" si="1"/>
        <v>23</v>
      </c>
      <c r="D29" s="105" t="s">
        <v>486</v>
      </c>
      <c r="E29" s="117" t="s">
        <v>487</v>
      </c>
      <c r="F29" s="123" t="s">
        <v>488</v>
      </c>
      <c r="G29" t="s">
        <v>517</v>
      </c>
      <c r="H29" s="131" t="s">
        <v>538</v>
      </c>
      <c r="I29" s="1"/>
      <c r="J29" t="s">
        <v>29</v>
      </c>
      <c r="K29" t="s">
        <v>381</v>
      </c>
      <c r="L29" t="s">
        <v>348</v>
      </c>
      <c r="M29" t="s">
        <v>7</v>
      </c>
      <c r="N29" s="43"/>
    </row>
    <row r="30" spans="1:14" ht="15" customHeight="1" x14ac:dyDescent="0.25">
      <c r="A30" s="72">
        <f t="shared" si="1"/>
        <v>24</v>
      </c>
      <c r="D30" s="111" t="s">
        <v>510</v>
      </c>
      <c r="E30" s="106" t="s">
        <v>487</v>
      </c>
      <c r="F30" s="117" t="s">
        <v>511</v>
      </c>
      <c r="G30" t="s">
        <v>397</v>
      </c>
      <c r="H30" s="131" t="s">
        <v>538</v>
      </c>
      <c r="I30" s="59"/>
      <c r="J30" s="62" t="s">
        <v>407</v>
      </c>
      <c r="K30" s="60" t="s">
        <v>381</v>
      </c>
      <c r="L30" s="61" t="s">
        <v>46</v>
      </c>
      <c r="M30" s="61" t="s">
        <v>7</v>
      </c>
      <c r="N30" s="43"/>
    </row>
    <row r="31" spans="1:14" ht="15" customHeight="1" x14ac:dyDescent="0.25">
      <c r="A31" s="72">
        <f>A30+1</f>
        <v>25</v>
      </c>
      <c r="C31" s="92" t="s">
        <v>562</v>
      </c>
      <c r="D31" s="111" t="s">
        <v>510</v>
      </c>
      <c r="E31" s="106" t="s">
        <v>487</v>
      </c>
      <c r="F31" s="117" t="s">
        <v>511</v>
      </c>
      <c r="G31" t="s">
        <v>398</v>
      </c>
      <c r="H31" s="131" t="s">
        <v>538</v>
      </c>
      <c r="I31" s="59"/>
      <c r="J31" s="62" t="s">
        <v>409</v>
      </c>
      <c r="K31" s="62" t="s">
        <v>411</v>
      </c>
      <c r="L31" s="61" t="s">
        <v>48</v>
      </c>
      <c r="M31" s="61" t="s">
        <v>375</v>
      </c>
      <c r="N31" s="43" t="s">
        <v>261</v>
      </c>
    </row>
    <row r="32" spans="1:14" ht="15" customHeight="1" x14ac:dyDescent="0.25">
      <c r="A32" s="72">
        <f t="shared" si="1"/>
        <v>26</v>
      </c>
      <c r="C32" s="92" t="s">
        <v>562</v>
      </c>
      <c r="D32" s="112" t="s">
        <v>486</v>
      </c>
      <c r="E32" s="113" t="s">
        <v>495</v>
      </c>
      <c r="F32" s="113" t="s">
        <v>511</v>
      </c>
      <c r="G32" s="140" t="s">
        <v>518</v>
      </c>
      <c r="H32" s="131" t="s">
        <v>538</v>
      </c>
      <c r="I32" s="59"/>
      <c r="J32" s="62" t="s">
        <v>410</v>
      </c>
      <c r="K32" s="62" t="s">
        <v>411</v>
      </c>
      <c r="L32" s="61" t="s">
        <v>387</v>
      </c>
      <c r="M32" s="61" t="s">
        <v>375</v>
      </c>
      <c r="N32" s="43"/>
    </row>
    <row r="33" spans="1:14" ht="15" customHeight="1" x14ac:dyDescent="0.25">
      <c r="A33" s="72">
        <f t="shared" si="1"/>
        <v>27</v>
      </c>
      <c r="D33" s="105" t="s">
        <v>510</v>
      </c>
      <c r="E33" s="106" t="s">
        <v>495</v>
      </c>
      <c r="F33" s="117" t="s">
        <v>511</v>
      </c>
      <c r="G33" t="s">
        <v>519</v>
      </c>
      <c r="H33" s="131" t="s">
        <v>538</v>
      </c>
      <c r="I33" s="59"/>
      <c r="J33" s="60" t="s">
        <v>256</v>
      </c>
      <c r="K33" s="60" t="s">
        <v>381</v>
      </c>
      <c r="L33" s="61" t="s">
        <v>59</v>
      </c>
      <c r="M33" s="61" t="s">
        <v>222</v>
      </c>
      <c r="N33" s="45" t="s">
        <v>343</v>
      </c>
    </row>
    <row r="34" spans="1:14" ht="15" customHeight="1" x14ac:dyDescent="0.25">
      <c r="A34" s="72">
        <f t="shared" si="1"/>
        <v>28</v>
      </c>
      <c r="D34" s="111" t="s">
        <v>510</v>
      </c>
      <c r="E34" s="106" t="s">
        <v>495</v>
      </c>
      <c r="F34" s="117" t="s">
        <v>511</v>
      </c>
      <c r="G34" t="s">
        <v>399</v>
      </c>
      <c r="H34" s="131" t="s">
        <v>538</v>
      </c>
      <c r="I34" s="59"/>
      <c r="J34" s="60" t="s">
        <v>306</v>
      </c>
      <c r="K34" s="60" t="s">
        <v>381</v>
      </c>
      <c r="L34" s="61" t="s">
        <v>6</v>
      </c>
      <c r="M34" s="61" t="s">
        <v>222</v>
      </c>
      <c r="N34" s="43"/>
    </row>
    <row r="35" spans="1:14" ht="15" customHeight="1" x14ac:dyDescent="0.25">
      <c r="A35" s="72">
        <f t="shared" si="1"/>
        <v>29</v>
      </c>
      <c r="D35" s="111" t="s">
        <v>510</v>
      </c>
      <c r="E35" s="106" t="s">
        <v>495</v>
      </c>
      <c r="F35" s="117" t="s">
        <v>511</v>
      </c>
      <c r="G35" t="s">
        <v>520</v>
      </c>
      <c r="H35" s="131" t="s">
        <v>538</v>
      </c>
      <c r="I35" s="59"/>
      <c r="J35" s="60" t="s">
        <v>305</v>
      </c>
      <c r="K35" s="60" t="s">
        <v>381</v>
      </c>
      <c r="L35" s="61" t="s">
        <v>423</v>
      </c>
      <c r="M35" s="61" t="s">
        <v>223</v>
      </c>
      <c r="N35" s="45" t="s">
        <v>585</v>
      </c>
    </row>
    <row r="36" spans="1:14" ht="15" customHeight="1" x14ac:dyDescent="0.25">
      <c r="A36" s="72">
        <f t="shared" si="1"/>
        <v>30</v>
      </c>
      <c r="D36" s="111" t="s">
        <v>510</v>
      </c>
      <c r="E36" s="106" t="s">
        <v>487</v>
      </c>
      <c r="F36" s="106" t="s">
        <v>511</v>
      </c>
      <c r="G36" s="26" t="s">
        <v>541</v>
      </c>
      <c r="H36" s="131" t="s">
        <v>538</v>
      </c>
      <c r="I36" s="59"/>
      <c r="J36" s="60" t="s">
        <v>257</v>
      </c>
      <c r="K36" s="60" t="s">
        <v>381</v>
      </c>
      <c r="L36" s="61" t="s">
        <v>6</v>
      </c>
      <c r="M36" s="61" t="s">
        <v>7</v>
      </c>
      <c r="N36" s="45" t="s">
        <v>258</v>
      </c>
    </row>
    <row r="37" spans="1:14" ht="15" customHeight="1" x14ac:dyDescent="0.25">
      <c r="A37" s="90"/>
      <c r="B37" s="35"/>
      <c r="C37" s="35"/>
      <c r="D37" s="8"/>
      <c r="E37" s="35"/>
      <c r="F37" s="35"/>
      <c r="G37" s="35"/>
      <c r="H37" s="132"/>
      <c r="I37" s="8" t="s">
        <v>472</v>
      </c>
      <c r="J37" s="35"/>
      <c r="K37" s="35"/>
      <c r="L37" s="35"/>
      <c r="M37" s="35"/>
      <c r="N37" s="42"/>
    </row>
    <row r="38" spans="1:14" ht="15" customHeight="1" x14ac:dyDescent="0.25">
      <c r="A38" s="72">
        <f>A36+1</f>
        <v>31</v>
      </c>
      <c r="D38" s="139" t="s">
        <v>515</v>
      </c>
      <c r="E38" s="113" t="s">
        <v>487</v>
      </c>
      <c r="F38" s="113" t="s">
        <v>488</v>
      </c>
      <c r="G38" s="26" t="s">
        <v>578</v>
      </c>
      <c r="H38" s="133" t="s">
        <v>540</v>
      </c>
      <c r="I38" s="1"/>
      <c r="J38" s="15" t="s">
        <v>577</v>
      </c>
      <c r="K38" s="14" t="s">
        <v>382</v>
      </c>
      <c r="L38" t="s">
        <v>6</v>
      </c>
      <c r="M38" t="s">
        <v>7</v>
      </c>
      <c r="N38" s="43"/>
    </row>
    <row r="39" spans="1:14" ht="15" customHeight="1" x14ac:dyDescent="0.25">
      <c r="A39" s="72">
        <f>A38+1</f>
        <v>32</v>
      </c>
      <c r="B39" s="68" t="s">
        <v>539</v>
      </c>
      <c r="C39" s="68"/>
      <c r="D39" s="118" t="s">
        <v>429</v>
      </c>
      <c r="E39" s="119" t="s">
        <v>429</v>
      </c>
      <c r="F39" s="119" t="s">
        <v>429</v>
      </c>
      <c r="G39" s="119" t="s">
        <v>429</v>
      </c>
      <c r="H39" s="138" t="s">
        <v>542</v>
      </c>
      <c r="I39" s="1"/>
      <c r="J39" s="14" t="s">
        <v>81</v>
      </c>
      <c r="K39" t="s">
        <v>381</v>
      </c>
      <c r="L39" t="s">
        <v>6</v>
      </c>
      <c r="M39" t="s">
        <v>7</v>
      </c>
      <c r="N39" s="43" t="s">
        <v>134</v>
      </c>
    </row>
    <row r="40" spans="1:14" ht="15" customHeight="1" x14ac:dyDescent="0.25">
      <c r="A40" s="72">
        <f t="shared" ref="A40:A45" si="2">A39+1</f>
        <v>33</v>
      </c>
      <c r="B40" s="68" t="s">
        <v>539</v>
      </c>
      <c r="C40" s="69"/>
      <c r="D40" s="118" t="s">
        <v>429</v>
      </c>
      <c r="E40" s="119" t="s">
        <v>429</v>
      </c>
      <c r="F40" s="119" t="s">
        <v>429</v>
      </c>
      <c r="G40" s="119" t="s">
        <v>429</v>
      </c>
      <c r="H40" s="138" t="s">
        <v>542</v>
      </c>
      <c r="I40" s="1"/>
      <c r="J40" s="14" t="s">
        <v>536</v>
      </c>
      <c r="K40" t="s">
        <v>420</v>
      </c>
      <c r="L40" t="s">
        <v>6</v>
      </c>
      <c r="M40" t="s">
        <v>7</v>
      </c>
      <c r="N40" s="43" t="s">
        <v>169</v>
      </c>
    </row>
    <row r="41" spans="1:14" ht="15" customHeight="1" x14ac:dyDescent="0.25">
      <c r="A41" s="72">
        <f t="shared" si="2"/>
        <v>34</v>
      </c>
      <c r="B41" s="68" t="s">
        <v>539</v>
      </c>
      <c r="C41" s="69"/>
      <c r="D41" s="118" t="s">
        <v>429</v>
      </c>
      <c r="E41" s="119" t="s">
        <v>429</v>
      </c>
      <c r="F41" s="119" t="s">
        <v>429</v>
      </c>
      <c r="G41" s="119" t="s">
        <v>429</v>
      </c>
      <c r="H41" s="138" t="s">
        <v>542</v>
      </c>
      <c r="I41" s="1"/>
      <c r="J41" s="14" t="s">
        <v>234</v>
      </c>
      <c r="K41" t="s">
        <v>381</v>
      </c>
      <c r="L41" t="s">
        <v>6</v>
      </c>
      <c r="M41" t="s">
        <v>7</v>
      </c>
      <c r="N41" s="43" t="s">
        <v>169</v>
      </c>
    </row>
    <row r="42" spans="1:14" ht="15" customHeight="1" x14ac:dyDescent="0.25">
      <c r="A42" s="72">
        <f t="shared" si="2"/>
        <v>35</v>
      </c>
      <c r="D42" s="118" t="s">
        <v>429</v>
      </c>
      <c r="E42" s="119" t="s">
        <v>429</v>
      </c>
      <c r="F42" s="119" t="s">
        <v>429</v>
      </c>
      <c r="G42" s="119" t="s">
        <v>429</v>
      </c>
      <c r="H42" s="138" t="s">
        <v>542</v>
      </c>
      <c r="I42" s="1"/>
      <c r="J42" s="15" t="s">
        <v>233</v>
      </c>
      <c r="K42" t="s">
        <v>381</v>
      </c>
      <c r="L42" t="s">
        <v>6</v>
      </c>
      <c r="M42" t="s">
        <v>7</v>
      </c>
      <c r="N42" s="43"/>
    </row>
    <row r="43" spans="1:14" ht="15" customHeight="1" x14ac:dyDescent="0.25">
      <c r="A43" s="72">
        <f t="shared" si="2"/>
        <v>36</v>
      </c>
      <c r="D43" s="139" t="s">
        <v>515</v>
      </c>
      <c r="E43" s="113" t="s">
        <v>487</v>
      </c>
      <c r="F43" s="113" t="s">
        <v>488</v>
      </c>
      <c r="G43" s="26" t="s">
        <v>535</v>
      </c>
      <c r="H43" s="133" t="s">
        <v>540</v>
      </c>
      <c r="I43" s="1"/>
      <c r="J43" s="15" t="s">
        <v>285</v>
      </c>
      <c r="K43" t="s">
        <v>420</v>
      </c>
      <c r="L43" t="s">
        <v>6</v>
      </c>
      <c r="M43" t="s">
        <v>7</v>
      </c>
      <c r="N43" s="43" t="s">
        <v>169</v>
      </c>
    </row>
    <row r="44" spans="1:14" ht="15" customHeight="1" x14ac:dyDescent="0.25">
      <c r="A44" s="72">
        <f t="shared" si="2"/>
        <v>37</v>
      </c>
      <c r="D44" s="118" t="s">
        <v>429</v>
      </c>
      <c r="E44" s="119" t="s">
        <v>429</v>
      </c>
      <c r="F44" s="119" t="s">
        <v>429</v>
      </c>
      <c r="G44" s="119" t="s">
        <v>429</v>
      </c>
      <c r="H44" s="138" t="s">
        <v>542</v>
      </c>
      <c r="I44" s="1"/>
      <c r="J44" s="14" t="s">
        <v>84</v>
      </c>
      <c r="K44" t="s">
        <v>420</v>
      </c>
      <c r="L44" t="s">
        <v>6</v>
      </c>
      <c r="M44" t="s">
        <v>7</v>
      </c>
      <c r="N44" s="43" t="s">
        <v>169</v>
      </c>
    </row>
    <row r="45" spans="1:14" ht="15" customHeight="1" x14ac:dyDescent="0.25">
      <c r="A45" s="72">
        <f t="shared" si="2"/>
        <v>38</v>
      </c>
      <c r="D45" s="118" t="s">
        <v>429</v>
      </c>
      <c r="E45" s="119" t="s">
        <v>429</v>
      </c>
      <c r="F45" s="119" t="s">
        <v>429</v>
      </c>
      <c r="G45" s="119" t="s">
        <v>429</v>
      </c>
      <c r="H45" s="138" t="s">
        <v>542</v>
      </c>
      <c r="I45" s="1"/>
      <c r="J45" s="14" t="s">
        <v>378</v>
      </c>
      <c r="K45" t="s">
        <v>381</v>
      </c>
      <c r="L45" t="s">
        <v>6</v>
      </c>
      <c r="M45" t="s">
        <v>7</v>
      </c>
      <c r="N45" s="43" t="s">
        <v>169</v>
      </c>
    </row>
    <row r="46" spans="1:14" ht="15" customHeight="1" x14ac:dyDescent="0.25">
      <c r="A46" s="90"/>
      <c r="B46" s="35"/>
      <c r="C46" s="35"/>
      <c r="D46" s="8"/>
      <c r="E46" s="35"/>
      <c r="F46" s="35"/>
      <c r="G46" s="35"/>
      <c r="H46" s="132"/>
      <c r="I46" s="8" t="s">
        <v>473</v>
      </c>
      <c r="J46" s="35"/>
      <c r="K46" s="35"/>
      <c r="L46" s="35"/>
      <c r="M46" s="35"/>
      <c r="N46" s="42"/>
    </row>
    <row r="47" spans="1:14" ht="15" customHeight="1" x14ac:dyDescent="0.25">
      <c r="A47" s="72">
        <f>A45+1</f>
        <v>39</v>
      </c>
      <c r="D47" s="105" t="s">
        <v>489</v>
      </c>
      <c r="E47" s="106" t="s">
        <v>495</v>
      </c>
      <c r="F47" s="106" t="s">
        <v>490</v>
      </c>
      <c r="G47" s="144" t="s">
        <v>545</v>
      </c>
      <c r="H47" s="133" t="s">
        <v>540</v>
      </c>
      <c r="I47" s="1"/>
      <c r="J47" s="15" t="s">
        <v>463</v>
      </c>
      <c r="K47" t="s">
        <v>420</v>
      </c>
      <c r="L47" t="s">
        <v>6</v>
      </c>
      <c r="M47" t="s">
        <v>7</v>
      </c>
      <c r="N47" s="45" t="s">
        <v>344</v>
      </c>
    </row>
    <row r="48" spans="1:14" ht="15" customHeight="1" x14ac:dyDescent="0.25">
      <c r="A48" s="72">
        <f>A47+1</f>
        <v>40</v>
      </c>
      <c r="D48" s="118" t="s">
        <v>429</v>
      </c>
      <c r="E48" s="119" t="s">
        <v>429</v>
      </c>
      <c r="F48" s="119" t="s">
        <v>429</v>
      </c>
      <c r="G48" s="119" t="s">
        <v>429</v>
      </c>
      <c r="H48" s="138" t="s">
        <v>542</v>
      </c>
      <c r="I48" s="1"/>
      <c r="J48" s="15" t="s">
        <v>464</v>
      </c>
      <c r="K48" t="s">
        <v>420</v>
      </c>
      <c r="L48" t="s">
        <v>6</v>
      </c>
      <c r="M48" t="s">
        <v>7</v>
      </c>
      <c r="N48" s="45" t="s">
        <v>169</v>
      </c>
    </row>
    <row r="49" spans="1:14" ht="15" customHeight="1" x14ac:dyDescent="0.25">
      <c r="A49" s="72">
        <f t="shared" ref="A49:A55" si="3">A48+1</f>
        <v>41</v>
      </c>
      <c r="D49" s="111" t="s">
        <v>510</v>
      </c>
      <c r="E49" s="106" t="s">
        <v>495</v>
      </c>
      <c r="F49" s="117" t="str">
        <f t="shared" ref="F49" si="4">_xlfn.LET(
_xlpm.A,6-VALUE(RIGHT(TRIM(CLEAN(D49)),1)),
_xlpm.E,6-VALUE(RIGHT(TRIM(CLEAN(E49)),1)),
IF(AND(_xlpm.A&gt;=4,_xlpm.E&gt;=4),"S1",
IF(OR(AND(_xlpm.A=3,_xlpm.E&gt;=3),AND(_xlpm.A&gt;=4,_xlpm.E=3)),"S2",
IF(AND(_xlpm.A=2,_xlpm.E&gt;=3),"S3",
"S4"))))</f>
        <v>S2</v>
      </c>
      <c r="G49" s="26" t="s">
        <v>574</v>
      </c>
      <c r="H49" s="133" t="s">
        <v>540</v>
      </c>
      <c r="I49" s="1"/>
      <c r="J49" s="15" t="s">
        <v>573</v>
      </c>
      <c r="K49" s="26" t="s">
        <v>420</v>
      </c>
      <c r="L49" t="s">
        <v>6</v>
      </c>
      <c r="M49" t="s">
        <v>7</v>
      </c>
      <c r="N49" s="45"/>
    </row>
    <row r="50" spans="1:14" ht="15" customHeight="1" x14ac:dyDescent="0.25">
      <c r="A50" s="72">
        <f t="shared" si="3"/>
        <v>42</v>
      </c>
      <c r="D50" s="112" t="s">
        <v>486</v>
      </c>
      <c r="E50" s="123" t="s">
        <v>487</v>
      </c>
      <c r="F50" s="123" t="s">
        <v>488</v>
      </c>
      <c r="G50" s="140" t="s">
        <v>426</v>
      </c>
      <c r="H50" s="133" t="s">
        <v>540</v>
      </c>
      <c r="I50" s="1"/>
      <c r="J50" s="14" t="s">
        <v>466</v>
      </c>
      <c r="K50" t="s">
        <v>420</v>
      </c>
      <c r="L50" t="s">
        <v>6</v>
      </c>
      <c r="M50" t="s">
        <v>7</v>
      </c>
      <c r="N50" s="45"/>
    </row>
    <row r="51" spans="1:14" ht="15" customHeight="1" x14ac:dyDescent="0.25">
      <c r="A51" s="72">
        <f t="shared" si="3"/>
        <v>43</v>
      </c>
      <c r="D51" s="112" t="s">
        <v>489</v>
      </c>
      <c r="E51" s="113" t="s">
        <v>495</v>
      </c>
      <c r="F51" s="113" t="s">
        <v>490</v>
      </c>
      <c r="G51" s="26" t="s">
        <v>427</v>
      </c>
      <c r="H51" s="133" t="s">
        <v>540</v>
      </c>
      <c r="I51" s="1"/>
      <c r="J51" s="14" t="s">
        <v>391</v>
      </c>
      <c r="K51" t="s">
        <v>420</v>
      </c>
      <c r="L51" t="s">
        <v>6</v>
      </c>
      <c r="M51" t="s">
        <v>7</v>
      </c>
      <c r="N51" s="45"/>
    </row>
    <row r="52" spans="1:14" ht="15" customHeight="1" x14ac:dyDescent="0.25">
      <c r="A52" s="72">
        <f t="shared" si="3"/>
        <v>44</v>
      </c>
      <c r="D52" s="112" t="s">
        <v>489</v>
      </c>
      <c r="E52" s="113" t="s">
        <v>495</v>
      </c>
      <c r="F52" s="113" t="s">
        <v>490</v>
      </c>
      <c r="G52" s="26" t="s">
        <v>568</v>
      </c>
      <c r="H52" s="133" t="s">
        <v>540</v>
      </c>
      <c r="I52" s="1"/>
      <c r="J52" s="15" t="s">
        <v>566</v>
      </c>
      <c r="K52" t="s">
        <v>420</v>
      </c>
      <c r="L52" t="s">
        <v>6</v>
      </c>
      <c r="M52" t="s">
        <v>7</v>
      </c>
      <c r="N52" s="45"/>
    </row>
    <row r="53" spans="1:14" ht="15" customHeight="1" x14ac:dyDescent="0.25">
      <c r="A53" s="72">
        <f t="shared" si="3"/>
        <v>45</v>
      </c>
      <c r="D53" s="112" t="s">
        <v>489</v>
      </c>
      <c r="E53" s="113" t="s">
        <v>495</v>
      </c>
      <c r="F53" s="113" t="s">
        <v>490</v>
      </c>
      <c r="G53" t="s">
        <v>567</v>
      </c>
      <c r="H53" s="133" t="s">
        <v>540</v>
      </c>
      <c r="I53" s="1"/>
      <c r="J53" s="14" t="s">
        <v>467</v>
      </c>
      <c r="K53" t="s">
        <v>420</v>
      </c>
      <c r="L53" t="s">
        <v>6</v>
      </c>
      <c r="M53" t="s">
        <v>7</v>
      </c>
      <c r="N53" s="45"/>
    </row>
    <row r="54" spans="1:14" ht="15" customHeight="1" x14ac:dyDescent="0.25">
      <c r="A54" s="72">
        <f t="shared" si="3"/>
        <v>46</v>
      </c>
      <c r="D54" s="112" t="s">
        <v>489</v>
      </c>
      <c r="E54" s="113" t="s">
        <v>495</v>
      </c>
      <c r="F54" s="113" t="s">
        <v>490</v>
      </c>
      <c r="G54" t="s">
        <v>553</v>
      </c>
      <c r="H54" s="133" t="s">
        <v>540</v>
      </c>
      <c r="I54" s="1"/>
      <c r="J54" s="14" t="s">
        <v>468</v>
      </c>
      <c r="K54" t="s">
        <v>420</v>
      </c>
      <c r="L54" t="s">
        <v>6</v>
      </c>
      <c r="M54" t="s">
        <v>392</v>
      </c>
      <c r="N54" s="45"/>
    </row>
    <row r="55" spans="1:14" ht="15" customHeight="1" x14ac:dyDescent="0.25">
      <c r="A55" s="72">
        <f t="shared" si="3"/>
        <v>47</v>
      </c>
      <c r="D55" s="105" t="s">
        <v>486</v>
      </c>
      <c r="E55" s="106" t="s">
        <v>487</v>
      </c>
      <c r="F55" s="106" t="s">
        <v>488</v>
      </c>
      <c r="G55" t="s">
        <v>400</v>
      </c>
      <c r="H55" s="131" t="s">
        <v>538</v>
      </c>
      <c r="I55" s="1"/>
      <c r="J55" s="15" t="s">
        <v>91</v>
      </c>
      <c r="K55" t="s">
        <v>381</v>
      </c>
      <c r="L55" t="s">
        <v>6</v>
      </c>
      <c r="M55" t="s">
        <v>7</v>
      </c>
      <c r="N55" s="45" t="s">
        <v>377</v>
      </c>
    </row>
    <row r="56" spans="1:14" ht="15" customHeight="1" x14ac:dyDescent="0.25">
      <c r="A56" s="90"/>
      <c r="B56" s="35"/>
      <c r="C56" s="35"/>
      <c r="D56" s="8"/>
      <c r="E56" s="35"/>
      <c r="F56" s="35"/>
      <c r="G56" s="35"/>
      <c r="H56" s="132"/>
      <c r="I56" s="8" t="s">
        <v>474</v>
      </c>
      <c r="J56" s="35"/>
      <c r="K56" s="35"/>
      <c r="L56" s="35"/>
      <c r="M56" s="35"/>
      <c r="N56" s="42"/>
    </row>
    <row r="57" spans="1:14" ht="15" customHeight="1" x14ac:dyDescent="0.25">
      <c r="A57" s="72">
        <f>A55+1</f>
        <v>48</v>
      </c>
      <c r="D57" s="112" t="s">
        <v>489</v>
      </c>
      <c r="E57" s="113" t="s">
        <v>495</v>
      </c>
      <c r="F57" s="113" t="s">
        <v>490</v>
      </c>
      <c r="G57" s="119" t="s">
        <v>583</v>
      </c>
      <c r="H57" s="133" t="s">
        <v>540</v>
      </c>
      <c r="I57" s="1"/>
      <c r="J57" s="14" t="s">
        <v>547</v>
      </c>
      <c r="K57" s="14" t="s">
        <v>550</v>
      </c>
      <c r="L57" t="s">
        <v>6</v>
      </c>
      <c r="M57" t="s">
        <v>7</v>
      </c>
      <c r="N57" s="43"/>
    </row>
    <row r="58" spans="1:14" ht="15" customHeight="1" x14ac:dyDescent="0.25">
      <c r="A58" s="72">
        <f>A57+1</f>
        <v>49</v>
      </c>
      <c r="D58" s="105" t="s">
        <v>489</v>
      </c>
      <c r="E58" s="106" t="s">
        <v>495</v>
      </c>
      <c r="F58" s="106" t="str">
        <f t="shared" ref="F58:F59" si="5">_xlfn.LET(
_xlpm.A,6-VALUE(RIGHT(TRIM(CLEAN(D58)),1)),
_xlpm.E,6-VALUE(RIGHT(TRIM(CLEAN(E58)),1)),
IF(AND(_xlpm.A&gt;=4,_xlpm.E&gt;=4),"S1",
IF(OR(AND(_xlpm.A=3,_xlpm.E&gt;=3),AND(_xlpm.A&gt;=4,_xlpm.E=3)),"S2",
IF(AND(_xlpm.A=2,_xlpm.E&gt;=3),"S3",
"S4"))))</f>
        <v>S3</v>
      </c>
      <c r="G58" s="144" t="s">
        <v>569</v>
      </c>
      <c r="H58" s="145" t="s">
        <v>540</v>
      </c>
      <c r="I58" s="1"/>
      <c r="J58" s="14" t="s">
        <v>548</v>
      </c>
      <c r="K58" s="14" t="s">
        <v>550</v>
      </c>
      <c r="L58" t="s">
        <v>6</v>
      </c>
      <c r="M58" t="s">
        <v>7</v>
      </c>
      <c r="N58" s="43"/>
    </row>
    <row r="59" spans="1:14" ht="15" customHeight="1" x14ac:dyDescent="0.25">
      <c r="A59" s="72">
        <f>A58+1</f>
        <v>50</v>
      </c>
      <c r="D59" s="105" t="s">
        <v>489</v>
      </c>
      <c r="E59" s="106" t="s">
        <v>495</v>
      </c>
      <c r="F59" s="113" t="str">
        <f t="shared" si="5"/>
        <v>S3</v>
      </c>
      <c r="G59" t="s">
        <v>553</v>
      </c>
      <c r="H59" s="133" t="s">
        <v>540</v>
      </c>
      <c r="I59" s="1"/>
      <c r="J59" s="14" t="s">
        <v>549</v>
      </c>
      <c r="K59" s="14" t="s">
        <v>550</v>
      </c>
      <c r="L59" t="s">
        <v>6</v>
      </c>
      <c r="M59" t="s">
        <v>7</v>
      </c>
      <c r="N59" s="43"/>
    </row>
    <row r="60" spans="1:14" ht="15" customHeight="1" x14ac:dyDescent="0.25">
      <c r="A60" s="90"/>
      <c r="B60" s="35"/>
      <c r="C60" s="35"/>
      <c r="D60" s="8"/>
      <c r="E60" s="35"/>
      <c r="F60" s="35"/>
      <c r="G60" s="35"/>
      <c r="H60" s="132"/>
      <c r="I60" s="91" t="s">
        <v>480</v>
      </c>
      <c r="J60" s="35"/>
      <c r="K60" s="35"/>
      <c r="L60" s="35"/>
      <c r="M60" s="35"/>
      <c r="N60" s="42"/>
    </row>
    <row r="61" spans="1:14" ht="15" customHeight="1" x14ac:dyDescent="0.25">
      <c r="A61" s="72">
        <f>A59+1</f>
        <v>51</v>
      </c>
      <c r="B61" s="68" t="s">
        <v>539</v>
      </c>
      <c r="C61" s="68"/>
      <c r="D61" s="105" t="s">
        <v>489</v>
      </c>
      <c r="E61" s="106" t="s">
        <v>487</v>
      </c>
      <c r="F61" s="106" t="s">
        <v>490</v>
      </c>
      <c r="G61" t="s">
        <v>533</v>
      </c>
      <c r="H61" s="133" t="s">
        <v>540</v>
      </c>
      <c r="I61" s="1"/>
      <c r="J61" s="14" t="s">
        <v>469</v>
      </c>
      <c r="K61" t="s">
        <v>420</v>
      </c>
      <c r="L61" t="s">
        <v>6</v>
      </c>
      <c r="M61" t="s">
        <v>7</v>
      </c>
      <c r="N61" s="45" t="s">
        <v>346</v>
      </c>
    </row>
    <row r="62" spans="1:14" ht="15" customHeight="1" x14ac:dyDescent="0.25">
      <c r="A62" s="72">
        <f>A61+1</f>
        <v>52</v>
      </c>
      <c r="B62" s="68" t="s">
        <v>539</v>
      </c>
      <c r="C62" s="69"/>
      <c r="D62" s="111" t="s">
        <v>486</v>
      </c>
      <c r="E62" s="106" t="s">
        <v>493</v>
      </c>
      <c r="F62" s="106" t="s">
        <v>488</v>
      </c>
      <c r="G62" t="s">
        <v>492</v>
      </c>
      <c r="H62" s="131" t="s">
        <v>538</v>
      </c>
      <c r="I62" s="1"/>
      <c r="J62" s="14" t="s">
        <v>345</v>
      </c>
      <c r="K62" t="s">
        <v>381</v>
      </c>
      <c r="L62" t="s">
        <v>6</v>
      </c>
      <c r="M62" t="s">
        <v>7</v>
      </c>
      <c r="N62" s="45" t="s">
        <v>157</v>
      </c>
    </row>
    <row r="63" spans="1:14" ht="15" customHeight="1" x14ac:dyDescent="0.25">
      <c r="A63" s="72">
        <f>A62+1</f>
        <v>53</v>
      </c>
      <c r="D63" s="118" t="s">
        <v>429</v>
      </c>
      <c r="E63" s="119" t="s">
        <v>429</v>
      </c>
      <c r="F63" s="119" t="s">
        <v>429</v>
      </c>
      <c r="G63" s="119" t="s">
        <v>429</v>
      </c>
      <c r="H63" s="138" t="s">
        <v>542</v>
      </c>
      <c r="I63" s="1"/>
      <c r="J63" s="14" t="s">
        <v>408</v>
      </c>
      <c r="K63" s="14" t="s">
        <v>411</v>
      </c>
      <c r="L63" t="s">
        <v>6</v>
      </c>
      <c r="M63" t="s">
        <v>7</v>
      </c>
      <c r="N63" s="43"/>
    </row>
    <row r="64" spans="1:14" ht="15" customHeight="1" x14ac:dyDescent="0.25">
      <c r="A64" s="90"/>
      <c r="B64" s="35"/>
      <c r="C64" s="35"/>
      <c r="D64" s="8"/>
      <c r="E64" s="35"/>
      <c r="F64" s="35"/>
      <c r="G64" s="35"/>
      <c r="H64" s="132"/>
      <c r="I64" s="91" t="s">
        <v>479</v>
      </c>
      <c r="J64" s="35"/>
      <c r="K64" s="35"/>
      <c r="L64" s="35"/>
      <c r="M64" s="35"/>
      <c r="N64" s="42"/>
    </row>
    <row r="65" spans="1:14" ht="15" customHeight="1" x14ac:dyDescent="0.25">
      <c r="A65" s="67">
        <f>A63+1</f>
        <v>54</v>
      </c>
      <c r="B65" s="26"/>
      <c r="D65" s="118" t="s">
        <v>429</v>
      </c>
      <c r="E65" s="119" t="s">
        <v>429</v>
      </c>
      <c r="F65" s="119" t="s">
        <v>429</v>
      </c>
      <c r="G65" s="119" t="s">
        <v>429</v>
      </c>
      <c r="H65" s="138" t="s">
        <v>542</v>
      </c>
      <c r="I65" s="1"/>
      <c r="J65" s="15" t="s">
        <v>521</v>
      </c>
      <c r="K65" s="14" t="s">
        <v>411</v>
      </c>
      <c r="L65" t="s">
        <v>6</v>
      </c>
      <c r="M65" t="s">
        <v>7</v>
      </c>
      <c r="N65" s="43" t="s">
        <v>439</v>
      </c>
    </row>
    <row r="66" spans="1:14" ht="15" customHeight="1" x14ac:dyDescent="0.25">
      <c r="A66" s="67">
        <f>A65+1</f>
        <v>55</v>
      </c>
      <c r="B66" s="26"/>
      <c r="D66" s="118" t="s">
        <v>429</v>
      </c>
      <c r="E66" s="119" t="s">
        <v>429</v>
      </c>
      <c r="F66" s="119" t="s">
        <v>429</v>
      </c>
      <c r="G66" s="119" t="s">
        <v>429</v>
      </c>
      <c r="H66" s="138" t="s">
        <v>542</v>
      </c>
      <c r="I66" s="1"/>
      <c r="J66" s="15" t="s">
        <v>522</v>
      </c>
      <c r="K66" s="14" t="s">
        <v>411</v>
      </c>
      <c r="L66" t="s">
        <v>6</v>
      </c>
      <c r="M66" t="s">
        <v>7</v>
      </c>
      <c r="N66" s="43" t="s">
        <v>442</v>
      </c>
    </row>
    <row r="67" spans="1:14" ht="15" customHeight="1" x14ac:dyDescent="0.25">
      <c r="A67" s="67">
        <f t="shared" ref="A67:A68" si="6">A66+1</f>
        <v>56</v>
      </c>
      <c r="B67" s="26"/>
      <c r="D67" s="118" t="s">
        <v>429</v>
      </c>
      <c r="E67" s="119" t="s">
        <v>429</v>
      </c>
      <c r="F67" s="119" t="s">
        <v>429</v>
      </c>
      <c r="G67" s="119" t="s">
        <v>429</v>
      </c>
      <c r="H67" s="138" t="s">
        <v>542</v>
      </c>
      <c r="I67" s="1"/>
      <c r="J67" s="15" t="s">
        <v>523</v>
      </c>
      <c r="K67" s="26" t="s">
        <v>435</v>
      </c>
      <c r="L67" t="s">
        <v>6</v>
      </c>
      <c r="M67" t="s">
        <v>7</v>
      </c>
      <c r="N67" s="22" t="s">
        <v>445</v>
      </c>
    </row>
    <row r="68" spans="1:14" ht="15" customHeight="1" x14ac:dyDescent="0.25">
      <c r="A68" s="67">
        <f t="shared" si="6"/>
        <v>57</v>
      </c>
      <c r="B68" s="68" t="s">
        <v>539</v>
      </c>
      <c r="C68" s="68"/>
      <c r="D68" s="111" t="s">
        <v>510</v>
      </c>
      <c r="E68" s="106" t="s">
        <v>487</v>
      </c>
      <c r="F68" s="106" t="s">
        <v>511</v>
      </c>
      <c r="G68" t="s">
        <v>541</v>
      </c>
      <c r="H68" s="133" t="s">
        <v>540</v>
      </c>
      <c r="I68" s="1"/>
      <c r="J68" s="14" t="s">
        <v>347</v>
      </c>
      <c r="K68" s="14" t="s">
        <v>382</v>
      </c>
      <c r="L68" t="s">
        <v>6</v>
      </c>
      <c r="M68" t="s">
        <v>7</v>
      </c>
      <c r="N68" s="43">
        <v>7</v>
      </c>
    </row>
    <row r="69" spans="1:14" ht="15" customHeight="1" x14ac:dyDescent="0.25">
      <c r="A69" s="72">
        <f>A68+1</f>
        <v>58</v>
      </c>
      <c r="D69" s="111" t="s">
        <v>510</v>
      </c>
      <c r="E69" s="106" t="s">
        <v>487</v>
      </c>
      <c r="F69" s="106" t="s">
        <v>511</v>
      </c>
      <c r="G69" s="26" t="s">
        <v>541</v>
      </c>
      <c r="H69" s="133" t="s">
        <v>540</v>
      </c>
      <c r="I69" s="1"/>
      <c r="J69" s="14" t="s">
        <v>395</v>
      </c>
      <c r="K69" s="14" t="s">
        <v>382</v>
      </c>
      <c r="L69" t="s">
        <v>6</v>
      </c>
      <c r="M69" t="s">
        <v>7</v>
      </c>
      <c r="N69" s="43"/>
    </row>
    <row r="70" spans="1:14" ht="15" customHeight="1" x14ac:dyDescent="0.25">
      <c r="A70" s="90"/>
      <c r="B70" s="35"/>
      <c r="C70" s="35"/>
      <c r="D70" s="8"/>
      <c r="E70" s="35"/>
      <c r="F70" s="35"/>
      <c r="G70" s="35"/>
      <c r="H70" s="132"/>
      <c r="I70" s="8" t="s">
        <v>482</v>
      </c>
      <c r="J70" s="35"/>
      <c r="K70" s="35"/>
      <c r="L70" s="35"/>
      <c r="M70" s="35"/>
      <c r="N70" s="42"/>
    </row>
    <row r="71" spans="1:14" ht="15" customHeight="1" x14ac:dyDescent="0.25">
      <c r="A71" s="72">
        <f>A69+1</f>
        <v>59</v>
      </c>
      <c r="B71" s="68" t="s">
        <v>539</v>
      </c>
      <c r="C71" s="69"/>
      <c r="D71" s="118" t="s">
        <v>429</v>
      </c>
      <c r="E71" s="119" t="s">
        <v>429</v>
      </c>
      <c r="F71" s="119" t="s">
        <v>429</v>
      </c>
      <c r="G71" s="119" t="s">
        <v>429</v>
      </c>
      <c r="H71" s="138" t="s">
        <v>542</v>
      </c>
      <c r="I71" s="1"/>
      <c r="J71" s="14" t="s">
        <v>189</v>
      </c>
      <c r="K71" t="s">
        <v>435</v>
      </c>
      <c r="L71" t="s">
        <v>6</v>
      </c>
      <c r="M71" t="s">
        <v>7</v>
      </c>
      <c r="N71" s="45" t="s">
        <v>369</v>
      </c>
    </row>
    <row r="72" spans="1:14" ht="15" customHeight="1" x14ac:dyDescent="0.25">
      <c r="A72" s="72">
        <f>A71+1</f>
        <v>60</v>
      </c>
      <c r="D72" s="112" t="s">
        <v>486</v>
      </c>
      <c r="E72" s="113" t="s">
        <v>487</v>
      </c>
      <c r="F72" s="113" t="s">
        <v>488</v>
      </c>
      <c r="G72" s="26" t="s">
        <v>525</v>
      </c>
      <c r="H72" s="133" t="s">
        <v>540</v>
      </c>
      <c r="I72" s="1"/>
      <c r="J72" s="14" t="s">
        <v>370</v>
      </c>
      <c r="K72" t="s">
        <v>420</v>
      </c>
      <c r="L72" t="s">
        <v>6</v>
      </c>
      <c r="M72" t="s">
        <v>7</v>
      </c>
      <c r="N72" s="43"/>
    </row>
    <row r="73" spans="1:14" ht="15" customHeight="1" x14ac:dyDescent="0.25">
      <c r="A73" s="72">
        <f t="shared" ref="A73:A75" si="7">A72+1</f>
        <v>61</v>
      </c>
      <c r="D73" s="112" t="s">
        <v>486</v>
      </c>
      <c r="E73" s="113" t="s">
        <v>487</v>
      </c>
      <c r="F73" s="113" t="s">
        <v>488</v>
      </c>
      <c r="G73" s="26" t="s">
        <v>529</v>
      </c>
      <c r="H73" s="133" t="s">
        <v>540</v>
      </c>
      <c r="I73" s="1"/>
      <c r="J73" s="14" t="s">
        <v>104</v>
      </c>
      <c r="K73" s="14" t="s">
        <v>381</v>
      </c>
      <c r="L73" t="s">
        <v>6</v>
      </c>
      <c r="M73" t="s">
        <v>7</v>
      </c>
      <c r="N73" s="43"/>
    </row>
    <row r="74" spans="1:14" ht="15" customHeight="1" x14ac:dyDescent="0.25">
      <c r="A74" s="72">
        <f t="shared" si="7"/>
        <v>62</v>
      </c>
      <c r="D74" s="105" t="s">
        <v>486</v>
      </c>
      <c r="E74" s="117" t="s">
        <v>487</v>
      </c>
      <c r="F74" s="123" t="s">
        <v>488</v>
      </c>
      <c r="G74" s="129" t="s">
        <v>517</v>
      </c>
      <c r="H74" s="133" t="s">
        <v>540</v>
      </c>
      <c r="I74" s="1"/>
      <c r="J74" s="14" t="s">
        <v>252</v>
      </c>
      <c r="K74" s="14" t="s">
        <v>383</v>
      </c>
      <c r="L74" t="s">
        <v>105</v>
      </c>
      <c r="M74" t="s">
        <v>7</v>
      </c>
      <c r="N74" s="43"/>
    </row>
    <row r="75" spans="1:14" ht="15" customHeight="1" x14ac:dyDescent="0.25">
      <c r="A75" s="72">
        <f t="shared" si="7"/>
        <v>63</v>
      </c>
      <c r="D75" s="105" t="s">
        <v>486</v>
      </c>
      <c r="E75" s="117" t="s">
        <v>487</v>
      </c>
      <c r="F75" s="123" t="s">
        <v>488</v>
      </c>
      <c r="G75" s="129" t="s">
        <v>517</v>
      </c>
      <c r="H75" s="131" t="s">
        <v>538</v>
      </c>
      <c r="I75" s="1"/>
      <c r="J75" s="14" t="s">
        <v>253</v>
      </c>
      <c r="K75" s="14" t="s">
        <v>381</v>
      </c>
      <c r="L75" t="s">
        <v>371</v>
      </c>
      <c r="M75" t="s">
        <v>7</v>
      </c>
      <c r="N75" s="43"/>
    </row>
    <row r="76" spans="1:14" ht="15" customHeight="1" x14ac:dyDescent="0.25">
      <c r="A76" s="90"/>
      <c r="B76" s="35"/>
      <c r="C76" s="35"/>
      <c r="D76" s="8"/>
      <c r="E76" s="35"/>
      <c r="F76" s="35"/>
      <c r="G76" s="35"/>
      <c r="H76" s="132"/>
      <c r="I76" s="91" t="s">
        <v>475</v>
      </c>
      <c r="J76" s="35"/>
      <c r="K76" s="35"/>
      <c r="L76" s="35"/>
      <c r="M76" s="35"/>
      <c r="N76" s="42"/>
    </row>
    <row r="77" spans="1:14" ht="15" customHeight="1" x14ac:dyDescent="0.25">
      <c r="A77" s="72">
        <f>A75+1</f>
        <v>64</v>
      </c>
      <c r="D77" s="118" t="s">
        <v>429</v>
      </c>
      <c r="E77" s="119" t="s">
        <v>429</v>
      </c>
      <c r="F77" s="119" t="s">
        <v>429</v>
      </c>
      <c r="G77" s="119" t="s">
        <v>429</v>
      </c>
      <c r="H77" s="138" t="s">
        <v>542</v>
      </c>
      <c r="I77" s="1"/>
      <c r="J77" s="14" t="s">
        <v>436</v>
      </c>
      <c r="K77" s="14" t="s">
        <v>383</v>
      </c>
      <c r="L77" t="s">
        <v>147</v>
      </c>
      <c r="M77" t="s">
        <v>7</v>
      </c>
      <c r="N77" s="53"/>
    </row>
    <row r="78" spans="1:14" ht="15" customHeight="1" x14ac:dyDescent="0.25">
      <c r="A78" s="72">
        <f t="shared" ref="A78:A79" si="8">A77+1</f>
        <v>65</v>
      </c>
      <c r="D78" s="105" t="s">
        <v>489</v>
      </c>
      <c r="E78" s="106" t="s">
        <v>495</v>
      </c>
      <c r="F78" s="117" t="s">
        <v>490</v>
      </c>
      <c r="G78" t="s">
        <v>530</v>
      </c>
      <c r="H78" s="131" t="s">
        <v>538</v>
      </c>
      <c r="I78" s="1"/>
      <c r="J78" s="15" t="s">
        <v>393</v>
      </c>
      <c r="K78" t="s">
        <v>420</v>
      </c>
      <c r="L78" t="s">
        <v>6</v>
      </c>
      <c r="M78" t="s">
        <v>7</v>
      </c>
      <c r="N78" s="53"/>
    </row>
    <row r="79" spans="1:14" ht="15" customHeight="1" x14ac:dyDescent="0.25">
      <c r="A79" s="72">
        <f t="shared" si="8"/>
        <v>66</v>
      </c>
      <c r="D79" s="105" t="s">
        <v>489</v>
      </c>
      <c r="E79" s="106" t="s">
        <v>487</v>
      </c>
      <c r="F79" s="106" t="s">
        <v>490</v>
      </c>
      <c r="G79" t="s">
        <v>401</v>
      </c>
      <c r="H79" s="133" t="s">
        <v>540</v>
      </c>
      <c r="I79" s="1"/>
      <c r="J79" s="14" t="s">
        <v>418</v>
      </c>
      <c r="K79" s="15" t="s">
        <v>419</v>
      </c>
      <c r="L79" t="s">
        <v>6</v>
      </c>
      <c r="M79" t="s">
        <v>7</v>
      </c>
      <c r="N79" s="43"/>
    </row>
    <row r="80" spans="1:14" ht="15" customHeight="1" x14ac:dyDescent="0.25">
      <c r="A80" s="90"/>
      <c r="B80" s="35"/>
      <c r="C80" s="35"/>
      <c r="D80" s="8"/>
      <c r="E80" s="35"/>
      <c r="F80" s="35"/>
      <c r="G80" s="35"/>
      <c r="H80" s="132"/>
      <c r="I80" s="91" t="s">
        <v>476</v>
      </c>
      <c r="J80" s="34"/>
      <c r="K80" s="34"/>
      <c r="L80" s="35"/>
      <c r="M80" s="35"/>
      <c r="N80" s="42"/>
    </row>
    <row r="81" spans="1:14" ht="15" customHeight="1" x14ac:dyDescent="0.25">
      <c r="A81" s="72">
        <f>A79+1</f>
        <v>67</v>
      </c>
      <c r="B81" s="68" t="s">
        <v>539</v>
      </c>
      <c r="C81" s="92" t="s">
        <v>527</v>
      </c>
      <c r="D81" s="118" t="s">
        <v>429</v>
      </c>
      <c r="E81" s="119" t="s">
        <v>429</v>
      </c>
      <c r="F81" s="119" t="s">
        <v>429</v>
      </c>
      <c r="G81" s="119" t="s">
        <v>429</v>
      </c>
      <c r="H81" s="138" t="s">
        <v>542</v>
      </c>
      <c r="I81" s="1"/>
      <c r="J81" s="14" t="s">
        <v>406</v>
      </c>
      <c r="K81" s="14" t="s">
        <v>382</v>
      </c>
      <c r="L81" t="s">
        <v>373</v>
      </c>
      <c r="M81" t="s">
        <v>7</v>
      </c>
      <c r="N81" s="43">
        <v>3</v>
      </c>
    </row>
    <row r="82" spans="1:14" ht="15" customHeight="1" x14ac:dyDescent="0.25">
      <c r="A82" s="72">
        <f>A81+1</f>
        <v>68</v>
      </c>
      <c r="D82" s="112" t="s">
        <v>489</v>
      </c>
      <c r="E82" s="113" t="s">
        <v>487</v>
      </c>
      <c r="F82" s="113" t="s">
        <v>490</v>
      </c>
      <c r="G82" t="s">
        <v>494</v>
      </c>
      <c r="H82" s="131" t="s">
        <v>538</v>
      </c>
      <c r="I82" s="1"/>
      <c r="J82" s="15" t="s">
        <v>558</v>
      </c>
      <c r="K82" t="s">
        <v>420</v>
      </c>
      <c r="L82" t="s">
        <v>6</v>
      </c>
      <c r="M82" t="s">
        <v>7</v>
      </c>
      <c r="N82" s="45" t="s">
        <v>346</v>
      </c>
    </row>
    <row r="83" spans="1:14" ht="15" customHeight="1" x14ac:dyDescent="0.25">
      <c r="A83" s="72">
        <f t="shared" ref="A83:A87" si="9">A82+1</f>
        <v>69</v>
      </c>
      <c r="D83" s="112" t="s">
        <v>489</v>
      </c>
      <c r="E83" s="113" t="s">
        <v>487</v>
      </c>
      <c r="F83" s="113" t="s">
        <v>490</v>
      </c>
      <c r="G83" t="s">
        <v>494</v>
      </c>
      <c r="H83" s="131" t="s">
        <v>538</v>
      </c>
      <c r="I83" s="1"/>
      <c r="J83" s="15" t="s">
        <v>551</v>
      </c>
      <c r="K83" s="15" t="s">
        <v>552</v>
      </c>
      <c r="L83" t="s">
        <v>6</v>
      </c>
      <c r="M83" t="s">
        <v>7</v>
      </c>
      <c r="N83" s="45" t="s">
        <v>532</v>
      </c>
    </row>
    <row r="84" spans="1:14" ht="15" customHeight="1" x14ac:dyDescent="0.25">
      <c r="A84" s="72">
        <f t="shared" si="9"/>
        <v>70</v>
      </c>
      <c r="D84" s="105" t="s">
        <v>489</v>
      </c>
      <c r="E84" s="106" t="s">
        <v>487</v>
      </c>
      <c r="F84" s="106" t="s">
        <v>490</v>
      </c>
      <c r="G84" t="s">
        <v>554</v>
      </c>
      <c r="H84" s="131" t="s">
        <v>538</v>
      </c>
      <c r="I84" s="1"/>
      <c r="J84" s="15" t="s">
        <v>555</v>
      </c>
      <c r="K84" t="s">
        <v>420</v>
      </c>
      <c r="L84" t="s">
        <v>6</v>
      </c>
      <c r="M84" t="s">
        <v>7</v>
      </c>
      <c r="N84" s="45" t="s">
        <v>169</v>
      </c>
    </row>
    <row r="85" spans="1:14" ht="15" customHeight="1" x14ac:dyDescent="0.25">
      <c r="A85" s="72">
        <f t="shared" si="9"/>
        <v>71</v>
      </c>
      <c r="D85" s="105" t="s">
        <v>489</v>
      </c>
      <c r="E85" s="106" t="s">
        <v>487</v>
      </c>
      <c r="F85" s="106" t="s">
        <v>490</v>
      </c>
      <c r="G85" t="s">
        <v>554</v>
      </c>
      <c r="H85" s="131" t="s">
        <v>538</v>
      </c>
      <c r="I85" s="1"/>
      <c r="J85" s="15" t="s">
        <v>559</v>
      </c>
      <c r="K85" s="15" t="s">
        <v>560</v>
      </c>
      <c r="L85" t="s">
        <v>6</v>
      </c>
      <c r="M85" t="s">
        <v>7</v>
      </c>
      <c r="N85" s="45"/>
    </row>
    <row r="86" spans="1:14" ht="15" customHeight="1" x14ac:dyDescent="0.25">
      <c r="A86" s="72">
        <f t="shared" si="9"/>
        <v>72</v>
      </c>
      <c r="D86" s="111" t="s">
        <v>515</v>
      </c>
      <c r="E86" s="106" t="s">
        <v>493</v>
      </c>
      <c r="F86" s="106" t="s">
        <v>488</v>
      </c>
      <c r="G86" t="s">
        <v>531</v>
      </c>
      <c r="H86" s="131" t="s">
        <v>538</v>
      </c>
      <c r="I86" s="1"/>
      <c r="J86" s="15" t="s">
        <v>556</v>
      </c>
      <c r="K86" t="s">
        <v>420</v>
      </c>
      <c r="L86" t="s">
        <v>6</v>
      </c>
      <c r="M86" t="s">
        <v>7</v>
      </c>
      <c r="N86" s="45" t="s">
        <v>346</v>
      </c>
    </row>
    <row r="87" spans="1:14" ht="15" customHeight="1" x14ac:dyDescent="0.25">
      <c r="A87" s="72">
        <f t="shared" si="9"/>
        <v>73</v>
      </c>
      <c r="D87" s="111" t="s">
        <v>515</v>
      </c>
      <c r="E87" s="106" t="s">
        <v>493</v>
      </c>
      <c r="F87" s="106" t="s">
        <v>488</v>
      </c>
      <c r="G87" t="s">
        <v>531</v>
      </c>
      <c r="H87" s="131" t="s">
        <v>538</v>
      </c>
      <c r="I87" s="1"/>
      <c r="J87" s="15" t="s">
        <v>557</v>
      </c>
      <c r="K87" s="15" t="s">
        <v>561</v>
      </c>
      <c r="L87" t="s">
        <v>6</v>
      </c>
      <c r="M87" t="s">
        <v>7</v>
      </c>
      <c r="N87" s="45" t="s">
        <v>532</v>
      </c>
    </row>
    <row r="88" spans="1:14" ht="15" customHeight="1" x14ac:dyDescent="0.25">
      <c r="A88" s="125"/>
      <c r="B88" s="54" t="s">
        <v>405</v>
      </c>
      <c r="C88" s="54"/>
      <c r="D88" s="126"/>
      <c r="E88" s="54"/>
      <c r="F88" s="54"/>
      <c r="G88" s="54"/>
      <c r="H88" s="133"/>
      <c r="I88" s="126"/>
      <c r="J88" s="127"/>
      <c r="K88" s="127"/>
      <c r="L88" s="54"/>
      <c r="M88" s="54"/>
      <c r="N88" s="128"/>
    </row>
    <row r="89" spans="1:14" ht="15" customHeight="1" x14ac:dyDescent="0.25">
      <c r="A89" s="75"/>
      <c r="B89" s="76"/>
      <c r="C89" s="76"/>
      <c r="D89" s="77"/>
      <c r="E89" s="76"/>
      <c r="F89" s="76"/>
      <c r="G89" s="76"/>
      <c r="H89" s="134"/>
      <c r="I89" s="124" t="s">
        <v>534</v>
      </c>
      <c r="J89" s="76"/>
      <c r="K89" s="76"/>
      <c r="L89" s="76"/>
      <c r="M89" s="76"/>
      <c r="N89" s="78"/>
    </row>
    <row r="90" spans="1:14" ht="15" customHeight="1" x14ac:dyDescent="0.25">
      <c r="A90" s="79"/>
      <c r="B90" s="80"/>
      <c r="C90" s="80"/>
      <c r="D90" s="114" t="s">
        <v>489</v>
      </c>
      <c r="E90" s="115" t="s">
        <v>487</v>
      </c>
      <c r="F90" s="116" t="s">
        <v>490</v>
      </c>
      <c r="G90" s="80" t="s">
        <v>402</v>
      </c>
      <c r="H90" s="135"/>
      <c r="I90" s="81"/>
      <c r="J90" s="82" t="s">
        <v>350</v>
      </c>
      <c r="K90" s="82" t="s">
        <v>383</v>
      </c>
      <c r="L90" s="80" t="s">
        <v>86</v>
      </c>
      <c r="M90" s="80" t="s">
        <v>7</v>
      </c>
      <c r="N90" s="43"/>
    </row>
    <row r="91" spans="1:14" ht="15" customHeight="1" x14ac:dyDescent="0.25">
      <c r="A91" s="79"/>
      <c r="B91" s="83"/>
      <c r="C91" s="83"/>
      <c r="D91" s="114" t="s">
        <v>486</v>
      </c>
      <c r="E91" s="115" t="s">
        <v>493</v>
      </c>
      <c r="F91" s="116" t="s">
        <v>488</v>
      </c>
      <c r="G91" s="80" t="s">
        <v>496</v>
      </c>
      <c r="H91" s="135"/>
      <c r="I91" s="81"/>
      <c r="J91" s="82" t="s">
        <v>349</v>
      </c>
      <c r="K91" s="82" t="s">
        <v>383</v>
      </c>
      <c r="L91" s="80" t="s">
        <v>86</v>
      </c>
      <c r="M91" s="80" t="s">
        <v>7</v>
      </c>
      <c r="N91" s="43"/>
    </row>
    <row r="92" spans="1:14" ht="15" customHeight="1" x14ac:dyDescent="0.25">
      <c r="A92" s="79"/>
      <c r="B92" s="80"/>
      <c r="C92" s="80"/>
      <c r="D92" s="81"/>
      <c r="E92" s="80"/>
      <c r="F92" s="80"/>
      <c r="G92" s="80"/>
      <c r="H92" s="135"/>
      <c r="I92" s="81"/>
      <c r="J92" s="82" t="s">
        <v>114</v>
      </c>
      <c r="K92" s="82" t="s">
        <v>76</v>
      </c>
      <c r="L92" s="80" t="s">
        <v>76</v>
      </c>
      <c r="M92" s="80" t="s">
        <v>7</v>
      </c>
      <c r="N92" s="43"/>
    </row>
    <row r="93" spans="1:14" ht="15" customHeight="1" x14ac:dyDescent="0.25">
      <c r="A93" s="79"/>
      <c r="B93" s="80"/>
      <c r="C93" s="80"/>
      <c r="D93" s="81"/>
      <c r="E93" s="80"/>
      <c r="F93" s="80"/>
      <c r="G93" s="80"/>
      <c r="H93" s="135"/>
      <c r="I93" s="81"/>
      <c r="J93" s="80" t="s">
        <v>115</v>
      </c>
      <c r="K93" s="80" t="s">
        <v>76</v>
      </c>
      <c r="L93" s="80" t="s">
        <v>76</v>
      </c>
      <c r="M93" s="80" t="s">
        <v>7</v>
      </c>
      <c r="N93" s="43"/>
    </row>
    <row r="94" spans="1:14" ht="15" customHeight="1" x14ac:dyDescent="0.25">
      <c r="A94" s="75"/>
      <c r="B94" s="76"/>
      <c r="C94" s="76"/>
      <c r="D94" s="77"/>
      <c r="E94" s="76"/>
      <c r="F94" s="76"/>
      <c r="G94" s="130"/>
      <c r="H94" s="136"/>
      <c r="I94" s="124" t="s">
        <v>478</v>
      </c>
      <c r="J94" s="76"/>
      <c r="K94" s="76"/>
      <c r="L94" s="76"/>
      <c r="M94" s="76"/>
      <c r="N94" s="78"/>
    </row>
    <row r="95" spans="1:14" ht="15" customHeight="1" x14ac:dyDescent="0.25">
      <c r="A95" s="79"/>
      <c r="B95" s="80"/>
      <c r="C95" s="80"/>
      <c r="D95" s="81"/>
      <c r="E95" s="80"/>
      <c r="F95" s="80"/>
      <c r="G95" s="80"/>
      <c r="H95" s="135"/>
      <c r="I95" s="81"/>
      <c r="J95" s="82" t="s">
        <v>241</v>
      </c>
      <c r="K95" s="80" t="s">
        <v>381</v>
      </c>
      <c r="L95" s="80" t="s">
        <v>6</v>
      </c>
      <c r="M95" s="80" t="s">
        <v>7</v>
      </c>
      <c r="N95" s="45" t="s">
        <v>339</v>
      </c>
    </row>
    <row r="96" spans="1:14" ht="15" customHeight="1" x14ac:dyDescent="0.25">
      <c r="A96" s="79"/>
      <c r="B96" s="84"/>
      <c r="C96" s="84"/>
      <c r="D96" s="109"/>
      <c r="E96" s="84"/>
      <c r="F96" s="84"/>
      <c r="G96" s="80"/>
      <c r="H96" s="135"/>
      <c r="I96" s="81"/>
      <c r="J96" s="82" t="s">
        <v>238</v>
      </c>
      <c r="K96" s="80" t="s">
        <v>381</v>
      </c>
      <c r="L96" s="80" t="s">
        <v>6</v>
      </c>
      <c r="M96" s="80" t="s">
        <v>7</v>
      </c>
      <c r="N96" s="45">
        <v>34933662100</v>
      </c>
    </row>
    <row r="97" spans="1:14" ht="15" customHeight="1" x14ac:dyDescent="0.25">
      <c r="A97" s="79"/>
      <c r="B97" s="85"/>
      <c r="C97" s="85"/>
      <c r="D97" s="110"/>
      <c r="E97" s="85"/>
      <c r="F97" s="85"/>
      <c r="G97" s="80"/>
      <c r="H97" s="135"/>
      <c r="I97" s="81"/>
      <c r="J97" s="82" t="s">
        <v>239</v>
      </c>
      <c r="K97" s="80" t="s">
        <v>381</v>
      </c>
      <c r="L97" s="80" t="s">
        <v>6</v>
      </c>
      <c r="M97" s="80" t="s">
        <v>7</v>
      </c>
      <c r="N97" s="45"/>
    </row>
    <row r="98" spans="1:14" ht="15" customHeight="1" x14ac:dyDescent="0.25">
      <c r="A98" s="79"/>
      <c r="B98" s="85"/>
      <c r="C98" s="85"/>
      <c r="D98" s="110"/>
      <c r="E98" s="85"/>
      <c r="F98" s="85"/>
      <c r="G98" s="80"/>
      <c r="H98" s="135"/>
      <c r="I98" s="81"/>
      <c r="J98" s="82" t="s">
        <v>240</v>
      </c>
      <c r="K98" s="80" t="s">
        <v>381</v>
      </c>
      <c r="L98" s="80" t="s">
        <v>6</v>
      </c>
      <c r="M98" s="80" t="s">
        <v>7</v>
      </c>
      <c r="N98" s="48" t="s">
        <v>368</v>
      </c>
    </row>
    <row r="99" spans="1:14" ht="15" customHeight="1" x14ac:dyDescent="0.25">
      <c r="A99" s="79"/>
      <c r="B99" s="80"/>
      <c r="C99" s="80"/>
      <c r="D99" s="81"/>
      <c r="E99" s="80"/>
      <c r="F99" s="80"/>
      <c r="G99" s="80"/>
      <c r="H99" s="135"/>
      <c r="I99" s="81"/>
      <c r="J99" s="82" t="s">
        <v>74</v>
      </c>
      <c r="K99" s="80" t="s">
        <v>381</v>
      </c>
      <c r="L99" s="80" t="s">
        <v>6</v>
      </c>
      <c r="M99" s="80" t="s">
        <v>7</v>
      </c>
      <c r="N99" s="43"/>
    </row>
    <row r="100" spans="1:14" ht="15" customHeight="1" x14ac:dyDescent="0.25">
      <c r="A100" s="79"/>
      <c r="B100" s="80"/>
      <c r="C100" s="80"/>
      <c r="D100" s="81"/>
      <c r="E100" s="80"/>
      <c r="F100" s="80"/>
      <c r="G100" s="80"/>
      <c r="H100" s="135"/>
      <c r="I100" s="81"/>
      <c r="J100" s="82" t="s">
        <v>242</v>
      </c>
      <c r="K100" s="80" t="s">
        <v>381</v>
      </c>
      <c r="L100" s="80" t="s">
        <v>6</v>
      </c>
      <c r="M100" s="80" t="s">
        <v>7</v>
      </c>
      <c r="N100" s="43"/>
    </row>
    <row r="101" spans="1:14" ht="15" customHeight="1" x14ac:dyDescent="0.25">
      <c r="A101" s="79"/>
      <c r="B101" s="80"/>
      <c r="C101" s="80"/>
      <c r="D101" s="81"/>
      <c r="E101" s="80"/>
      <c r="F101" s="80"/>
      <c r="G101" s="80"/>
      <c r="H101" s="135"/>
      <c r="I101" s="81"/>
      <c r="J101" s="82" t="s">
        <v>243</v>
      </c>
      <c r="K101" s="80" t="s">
        <v>381</v>
      </c>
      <c r="L101" s="80" t="s">
        <v>6</v>
      </c>
      <c r="M101" s="80" t="s">
        <v>7</v>
      </c>
      <c r="N101" s="44"/>
    </row>
    <row r="102" spans="1:14" ht="15" customHeight="1" thickBot="1" x14ac:dyDescent="0.3">
      <c r="A102" s="86"/>
      <c r="B102" s="87"/>
      <c r="C102" s="87"/>
      <c r="D102" s="88"/>
      <c r="E102" s="87"/>
      <c r="F102" s="87"/>
      <c r="G102" s="87"/>
      <c r="H102" s="137"/>
      <c r="I102" s="88"/>
      <c r="J102" s="89" t="s">
        <v>244</v>
      </c>
      <c r="K102" s="87" t="s">
        <v>381</v>
      </c>
      <c r="L102" s="87" t="s">
        <v>6</v>
      </c>
      <c r="M102" s="87" t="s">
        <v>7</v>
      </c>
      <c r="N102" s="73"/>
    </row>
    <row r="104" spans="1:14" x14ac:dyDescent="0.25">
      <c r="B104" s="74"/>
      <c r="C104" s="74"/>
      <c r="D104" s="74"/>
      <c r="E104" s="74"/>
      <c r="F104" s="74"/>
      <c r="J104" s="14"/>
      <c r="K104" s="14"/>
    </row>
    <row r="105" spans="1:14" x14ac:dyDescent="0.25">
      <c r="J105" s="18"/>
      <c r="K105" s="18"/>
    </row>
    <row r="204" spans="10:11" x14ac:dyDescent="0.25">
      <c r="J204" s="7" t="s">
        <v>19</v>
      </c>
      <c r="K204" s="7"/>
    </row>
    <row r="205" spans="10:11" x14ac:dyDescent="0.25">
      <c r="J205" t="s">
        <v>5</v>
      </c>
    </row>
    <row r="206" spans="10:11" x14ac:dyDescent="0.25">
      <c r="J206" t="s">
        <v>116</v>
      </c>
    </row>
    <row r="207" spans="10:11" x14ac:dyDescent="0.25">
      <c r="J207" t="s">
        <v>117</v>
      </c>
    </row>
    <row r="208" spans="10:11" x14ac:dyDescent="0.25">
      <c r="J208" t="s">
        <v>118</v>
      </c>
    </row>
    <row r="209" spans="10:11" x14ac:dyDescent="0.25">
      <c r="J209" t="s">
        <v>119</v>
      </c>
    </row>
    <row r="210" spans="10:11" x14ac:dyDescent="0.25">
      <c r="J210" t="s">
        <v>120</v>
      </c>
    </row>
    <row r="211" spans="10:11" x14ac:dyDescent="0.25">
      <c r="J211" t="s">
        <v>121</v>
      </c>
    </row>
    <row r="212" spans="10:11" x14ac:dyDescent="0.25">
      <c r="J212" t="s">
        <v>122</v>
      </c>
    </row>
    <row r="213" spans="10:11" x14ac:dyDescent="0.25">
      <c r="J213" t="s">
        <v>123</v>
      </c>
    </row>
    <row r="214" spans="10:11" x14ac:dyDescent="0.25">
      <c r="J214" t="s">
        <v>124</v>
      </c>
    </row>
    <row r="215" spans="10:11" x14ac:dyDescent="0.25">
      <c r="J215" t="s">
        <v>125</v>
      </c>
    </row>
    <row r="218" spans="10:11" x14ac:dyDescent="0.25">
      <c r="J218" s="6" t="s">
        <v>38</v>
      </c>
      <c r="K218" s="6"/>
    </row>
    <row r="219" spans="10:11" x14ac:dyDescent="0.25">
      <c r="J219" t="s">
        <v>126</v>
      </c>
    </row>
    <row r="220" spans="10:11" x14ac:dyDescent="0.25">
      <c r="J220" t="s">
        <v>127</v>
      </c>
    </row>
    <row r="221" spans="10:11" x14ac:dyDescent="0.25">
      <c r="J221" t="s">
        <v>128</v>
      </c>
    </row>
    <row r="224" spans="10:11" x14ac:dyDescent="0.25">
      <c r="J224" s="6" t="s">
        <v>129</v>
      </c>
      <c r="K224" s="6"/>
    </row>
    <row r="225" spans="10:11" x14ac:dyDescent="0.25">
      <c r="J225" t="s">
        <v>130</v>
      </c>
    </row>
    <row r="226" spans="10:11" x14ac:dyDescent="0.25">
      <c r="J226" t="s">
        <v>131</v>
      </c>
    </row>
    <row r="227" spans="10:11" x14ac:dyDescent="0.25">
      <c r="J227" t="s">
        <v>132</v>
      </c>
    </row>
    <row r="230" spans="10:11" x14ac:dyDescent="0.25">
      <c r="J230" s="6" t="s">
        <v>81</v>
      </c>
      <c r="K230" s="6"/>
    </row>
    <row r="231" spans="10:11" x14ac:dyDescent="0.25">
      <c r="J231" t="s">
        <v>133</v>
      </c>
    </row>
    <row r="232" spans="10:11" x14ac:dyDescent="0.25">
      <c r="J232" t="s">
        <v>134</v>
      </c>
    </row>
    <row r="233" spans="10:11" x14ac:dyDescent="0.25">
      <c r="J233" t="s">
        <v>135</v>
      </c>
    </row>
    <row r="234" spans="10:11" x14ac:dyDescent="0.25">
      <c r="J234" t="s">
        <v>136</v>
      </c>
    </row>
    <row r="236" spans="10:11" x14ac:dyDescent="0.25">
      <c r="J236" s="6" t="s">
        <v>82</v>
      </c>
      <c r="K236" s="6"/>
    </row>
    <row r="237" spans="10:11" x14ac:dyDescent="0.25">
      <c r="J237" t="s">
        <v>137</v>
      </c>
    </row>
    <row r="238" spans="10:11" x14ac:dyDescent="0.25">
      <c r="J238" t="s">
        <v>138</v>
      </c>
    </row>
    <row r="239" spans="10:11" x14ac:dyDescent="0.25">
      <c r="J239" t="s">
        <v>139</v>
      </c>
    </row>
    <row r="240" spans="10:11" x14ac:dyDescent="0.25">
      <c r="J240" t="s">
        <v>140</v>
      </c>
    </row>
    <row r="242" spans="10:11" x14ac:dyDescent="0.25">
      <c r="J242" s="6" t="s">
        <v>83</v>
      </c>
      <c r="K242" s="6"/>
    </row>
    <row r="243" spans="10:11" x14ac:dyDescent="0.25">
      <c r="J243" t="s">
        <v>141</v>
      </c>
    </row>
    <row r="244" spans="10:11" x14ac:dyDescent="0.25">
      <c r="J244" t="s">
        <v>142</v>
      </c>
    </row>
    <row r="245" spans="10:11" x14ac:dyDescent="0.25">
      <c r="J245" t="s">
        <v>143</v>
      </c>
    </row>
    <row r="246" spans="10:11" x14ac:dyDescent="0.25">
      <c r="J246" t="s">
        <v>144</v>
      </c>
    </row>
    <row r="249" spans="10:11" x14ac:dyDescent="0.25">
      <c r="J249" s="6" t="s">
        <v>84</v>
      </c>
      <c r="K249" s="6"/>
    </row>
    <row r="250" spans="10:11" x14ac:dyDescent="0.25">
      <c r="J250" t="s">
        <v>145</v>
      </c>
    </row>
    <row r="251" spans="10:11" x14ac:dyDescent="0.25">
      <c r="J251" t="s">
        <v>146</v>
      </c>
    </row>
    <row r="253" spans="10:11" x14ac:dyDescent="0.25">
      <c r="J253" s="6" t="s">
        <v>87</v>
      </c>
      <c r="K253" s="6"/>
    </row>
    <row r="254" spans="10:11" x14ac:dyDescent="0.25">
      <c r="J254" t="s">
        <v>93</v>
      </c>
    </row>
    <row r="255" spans="10:11" x14ac:dyDescent="0.25">
      <c r="J255" t="s">
        <v>95</v>
      </c>
    </row>
    <row r="256" spans="10:11" x14ac:dyDescent="0.25">
      <c r="J256" t="s">
        <v>97</v>
      </c>
    </row>
    <row r="259" spans="10:11" x14ac:dyDescent="0.25">
      <c r="J259" s="6" t="s">
        <v>93</v>
      </c>
      <c r="K259" s="6"/>
    </row>
    <row r="260" spans="10:11" x14ac:dyDescent="0.25">
      <c r="J260" t="s">
        <v>94</v>
      </c>
    </row>
    <row r="261" spans="10:11" x14ac:dyDescent="0.25">
      <c r="J261" t="s">
        <v>96</v>
      </c>
    </row>
    <row r="262" spans="10:11" x14ac:dyDescent="0.25">
      <c r="J262" t="s">
        <v>98</v>
      </c>
    </row>
    <row r="263" spans="10:11" x14ac:dyDescent="0.25">
      <c r="J263" s="6" t="s">
        <v>95</v>
      </c>
      <c r="K263" s="6"/>
    </row>
    <row r="264" spans="10:11" x14ac:dyDescent="0.25">
      <c r="J264" t="s">
        <v>94</v>
      </c>
    </row>
    <row r="265" spans="10:11" x14ac:dyDescent="0.25">
      <c r="J265" t="s">
        <v>96</v>
      </c>
    </row>
    <row r="266" spans="10:11" x14ac:dyDescent="0.25">
      <c r="J266" t="s">
        <v>98</v>
      </c>
    </row>
    <row r="267" spans="10:11" x14ac:dyDescent="0.25">
      <c r="J267" s="6" t="s">
        <v>97</v>
      </c>
      <c r="K267" s="6"/>
    </row>
    <row r="268" spans="10:11" x14ac:dyDescent="0.25">
      <c r="J268" t="s">
        <v>94</v>
      </c>
    </row>
    <row r="269" spans="10:11" x14ac:dyDescent="0.25">
      <c r="J269" t="s">
        <v>96</v>
      </c>
    </row>
    <row r="270" spans="10:11" x14ac:dyDescent="0.25">
      <c r="J270" t="s">
        <v>98</v>
      </c>
    </row>
  </sheetData>
  <mergeCells count="4">
    <mergeCell ref="B1:N1"/>
    <mergeCell ref="C2:C3"/>
    <mergeCell ref="D2:H2"/>
    <mergeCell ref="B2:B3"/>
  </mergeCells>
  <dataValidations disablePrompts="1" count="1">
    <dataValidation type="list" allowBlank="1" showInputMessage="1" showErrorMessage="1" sqref="D49:E49 D58:E59" xr:uid="{188CAF77-C3EB-496E-A018-B81DAB9C3C18}">
      <formula1>#REF!</formula1>
    </dataValidation>
  </dataValidations>
  <hyperlinks>
    <hyperlink ref="N98" r:id="rId1" xr:uid="{B153F54E-FFD3-46D2-89BD-7C927028670F}"/>
    <hyperlink ref="N6" r:id="rId2" xr:uid="{448D54DA-D1AA-4644-803D-752F1E773063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647D-DC3B-4C4E-840D-10247CAF5F6F}">
  <dimension ref="A1:N276"/>
  <sheetViews>
    <sheetView zoomScale="85" zoomScaleNormal="85" workbookViewId="0">
      <pane xSplit="10" ySplit="3" topLeftCell="M4" activePane="bottomRight" state="frozen"/>
      <selection pane="topRight" activeCell="C1" sqref="C1"/>
      <selection pane="bottomLeft" activeCell="A3" sqref="A3"/>
      <selection pane="bottomRight" activeCell="O1" sqref="O1:O1048576"/>
    </sheetView>
  </sheetViews>
  <sheetFormatPr baseColWidth="10" defaultColWidth="9.140625" defaultRowHeight="15" x14ac:dyDescent="0.25"/>
  <cols>
    <col min="1" max="1" width="3.7109375" style="67" customWidth="1"/>
    <col min="2" max="2" width="11.5703125" bestFit="1" customWidth="1"/>
    <col min="3" max="6" width="5.42578125" customWidth="1"/>
    <col min="7" max="7" width="33.5703125" customWidth="1"/>
    <col min="8" max="8" width="9.140625" style="67" customWidth="1"/>
    <col min="9" max="9" width="3.28515625" customWidth="1"/>
    <col min="10" max="10" width="79.28515625" customWidth="1"/>
    <col min="11" max="11" width="32.5703125" customWidth="1"/>
    <col min="12" max="12" width="15" customWidth="1"/>
    <col min="13" max="13" width="43.85546875" customWidth="1"/>
    <col min="14" max="14" width="66.140625" style="13" customWidth="1"/>
  </cols>
  <sheetData>
    <row r="1" spans="1:14" ht="15.75" thickBot="1" x14ac:dyDescent="0.3">
      <c r="A1" s="66"/>
      <c r="B1" s="146" t="s">
        <v>501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</row>
    <row r="2" spans="1:14" ht="15" customHeight="1" x14ac:dyDescent="0.25">
      <c r="A2" s="57"/>
      <c r="B2" s="56"/>
      <c r="C2" s="147" t="s">
        <v>412</v>
      </c>
      <c r="D2" s="148" t="s">
        <v>512</v>
      </c>
      <c r="E2" s="149"/>
      <c r="F2" s="149"/>
      <c r="G2" s="149"/>
      <c r="H2" s="150"/>
      <c r="I2" s="9" t="s">
        <v>497</v>
      </c>
      <c r="J2" s="10"/>
      <c r="K2" s="10"/>
      <c r="L2" s="10"/>
      <c r="M2" s="10"/>
      <c r="N2" s="58" t="s">
        <v>498</v>
      </c>
    </row>
    <row r="3" spans="1:14" x14ac:dyDescent="0.25">
      <c r="A3" s="57" t="s">
        <v>396</v>
      </c>
      <c r="B3" s="57" t="s">
        <v>372</v>
      </c>
      <c r="C3" s="147"/>
      <c r="D3" s="71" t="s">
        <v>336</v>
      </c>
      <c r="E3" s="104" t="s">
        <v>483</v>
      </c>
      <c r="F3" s="104" t="s">
        <v>484</v>
      </c>
      <c r="G3" s="57" t="s">
        <v>513</v>
      </c>
      <c r="H3" s="107" t="s">
        <v>537</v>
      </c>
      <c r="I3" s="8"/>
      <c r="J3" s="11" t="s">
        <v>506</v>
      </c>
      <c r="K3" s="11" t="s">
        <v>508</v>
      </c>
      <c r="L3" s="11" t="s">
        <v>507</v>
      </c>
      <c r="M3" s="11" t="s">
        <v>509</v>
      </c>
      <c r="N3" s="41" t="s">
        <v>499</v>
      </c>
    </row>
    <row r="4" spans="1:14" x14ac:dyDescent="0.25">
      <c r="A4" s="93"/>
      <c r="B4" s="35"/>
      <c r="C4" s="35"/>
      <c r="D4" s="8"/>
      <c r="E4" s="35"/>
      <c r="F4" s="35"/>
      <c r="G4" s="35"/>
      <c r="H4" s="132"/>
      <c r="I4" s="8" t="s">
        <v>470</v>
      </c>
      <c r="J4" s="35"/>
      <c r="K4" s="35"/>
      <c r="L4" s="35"/>
      <c r="M4" s="35"/>
      <c r="N4" s="95"/>
    </row>
    <row r="5" spans="1:14" x14ac:dyDescent="0.25">
      <c r="A5" s="72">
        <v>1</v>
      </c>
      <c r="B5" s="68" t="s">
        <v>539</v>
      </c>
      <c r="C5" s="68"/>
      <c r="D5" s="118" t="s">
        <v>429</v>
      </c>
      <c r="E5" s="119" t="s">
        <v>429</v>
      </c>
      <c r="F5" s="119" t="s">
        <v>429</v>
      </c>
      <c r="G5" s="119" t="s">
        <v>429</v>
      </c>
      <c r="H5" s="138" t="s">
        <v>542</v>
      </c>
      <c r="I5" s="1"/>
      <c r="J5" t="s">
        <v>424</v>
      </c>
      <c r="K5" s="27" t="s">
        <v>425</v>
      </c>
      <c r="L5" t="s">
        <v>6</v>
      </c>
      <c r="M5" t="s">
        <v>7</v>
      </c>
      <c r="N5" s="43" t="s">
        <v>8</v>
      </c>
    </row>
    <row r="6" spans="1:14" ht="15" customHeight="1" x14ac:dyDescent="0.25">
      <c r="A6" s="67">
        <f>A5+1</f>
        <v>2</v>
      </c>
      <c r="B6" s="68" t="s">
        <v>539</v>
      </c>
      <c r="C6" s="17"/>
      <c r="D6" s="118" t="s">
        <v>429</v>
      </c>
      <c r="E6" s="119" t="s">
        <v>429</v>
      </c>
      <c r="F6" s="119" t="s">
        <v>429</v>
      </c>
      <c r="G6" s="119" t="s">
        <v>429</v>
      </c>
      <c r="H6" s="138" t="s">
        <v>542</v>
      </c>
      <c r="I6" s="122"/>
      <c r="J6" s="26" t="s">
        <v>526</v>
      </c>
      <c r="K6" s="64" t="s">
        <v>524</v>
      </c>
      <c r="L6" s="26" t="s">
        <v>6</v>
      </c>
      <c r="M6" s="26" t="s">
        <v>7</v>
      </c>
      <c r="N6" s="48" t="s">
        <v>597</v>
      </c>
    </row>
    <row r="7" spans="1:14" x14ac:dyDescent="0.25">
      <c r="A7" s="96">
        <f>A6+1</f>
        <v>3</v>
      </c>
      <c r="B7" s="97" t="s">
        <v>539</v>
      </c>
      <c r="C7" s="98"/>
      <c r="D7" s="120" t="s">
        <v>429</v>
      </c>
      <c r="E7" s="121" t="s">
        <v>429</v>
      </c>
      <c r="F7" s="121" t="s">
        <v>429</v>
      </c>
      <c r="G7" s="121" t="s">
        <v>429</v>
      </c>
      <c r="H7" s="138" t="s">
        <v>542</v>
      </c>
      <c r="I7" s="81"/>
      <c r="J7" s="80" t="s">
        <v>0</v>
      </c>
      <c r="K7" s="99" t="s">
        <v>421</v>
      </c>
      <c r="L7" s="80" t="s">
        <v>6</v>
      </c>
      <c r="M7" s="80" t="s">
        <v>7</v>
      </c>
      <c r="N7" s="45" t="s">
        <v>264</v>
      </c>
    </row>
    <row r="8" spans="1:14" x14ac:dyDescent="0.25">
      <c r="A8" s="96">
        <f t="shared" ref="A8:A15" si="0">A7+1</f>
        <v>4</v>
      </c>
      <c r="B8" s="97" t="s">
        <v>539</v>
      </c>
      <c r="C8" s="98"/>
      <c r="D8" s="120" t="s">
        <v>429</v>
      </c>
      <c r="E8" s="121" t="s">
        <v>429</v>
      </c>
      <c r="F8" s="121" t="s">
        <v>429</v>
      </c>
      <c r="G8" s="121" t="s">
        <v>429</v>
      </c>
      <c r="H8" s="138" t="s">
        <v>542</v>
      </c>
      <c r="I8" s="81"/>
      <c r="J8" s="80" t="s">
        <v>184</v>
      </c>
      <c r="K8" s="99" t="s">
        <v>421</v>
      </c>
      <c r="L8" s="80" t="s">
        <v>6</v>
      </c>
      <c r="M8" s="80" t="s">
        <v>7</v>
      </c>
      <c r="N8" s="45" t="s">
        <v>265</v>
      </c>
    </row>
    <row r="9" spans="1:14" x14ac:dyDescent="0.25">
      <c r="A9" s="67">
        <f t="shared" si="0"/>
        <v>5</v>
      </c>
      <c r="B9" s="102"/>
      <c r="C9" s="68"/>
      <c r="D9" s="118" t="s">
        <v>429</v>
      </c>
      <c r="E9" s="119" t="s">
        <v>429</v>
      </c>
      <c r="F9" s="119" t="s">
        <v>429</v>
      </c>
      <c r="G9" s="119" t="s">
        <v>429</v>
      </c>
      <c r="H9" s="138" t="s">
        <v>542</v>
      </c>
      <c r="I9" s="1"/>
      <c r="J9" t="s">
        <v>449</v>
      </c>
      <c r="K9" s="27" t="s">
        <v>451</v>
      </c>
      <c r="L9" t="s">
        <v>6</v>
      </c>
      <c r="M9" t="s">
        <v>7</v>
      </c>
      <c r="N9" s="45" t="s">
        <v>453</v>
      </c>
    </row>
    <row r="10" spans="1:14" x14ac:dyDescent="0.25">
      <c r="A10" s="67">
        <f t="shared" si="0"/>
        <v>6</v>
      </c>
      <c r="B10" s="102"/>
      <c r="C10" s="68"/>
      <c r="D10" s="118" t="s">
        <v>429</v>
      </c>
      <c r="E10" s="119" t="s">
        <v>429</v>
      </c>
      <c r="F10" s="119" t="s">
        <v>429</v>
      </c>
      <c r="G10" s="119" t="s">
        <v>429</v>
      </c>
      <c r="H10" s="138" t="s">
        <v>542</v>
      </c>
      <c r="I10" s="1"/>
      <c r="J10" t="s">
        <v>450</v>
      </c>
      <c r="K10" t="s">
        <v>381</v>
      </c>
      <c r="L10" t="s">
        <v>6</v>
      </c>
      <c r="M10" t="s">
        <v>7</v>
      </c>
      <c r="N10" s="45" t="s">
        <v>454</v>
      </c>
    </row>
    <row r="11" spans="1:14" x14ac:dyDescent="0.25">
      <c r="A11" s="67">
        <f t="shared" si="0"/>
        <v>7</v>
      </c>
      <c r="B11" s="68" t="s">
        <v>539</v>
      </c>
      <c r="C11" s="92" t="s">
        <v>562</v>
      </c>
      <c r="D11" s="105" t="s">
        <v>486</v>
      </c>
      <c r="E11" s="106" t="s">
        <v>487</v>
      </c>
      <c r="F11" s="106" t="s">
        <v>488</v>
      </c>
      <c r="G11" t="s">
        <v>485</v>
      </c>
      <c r="H11" s="131" t="s">
        <v>538</v>
      </c>
      <c r="I11" s="1"/>
      <c r="J11" t="s">
        <v>9</v>
      </c>
      <c r="K11" t="s">
        <v>381</v>
      </c>
      <c r="L11" t="s">
        <v>6</v>
      </c>
      <c r="M11" t="s">
        <v>7</v>
      </c>
      <c r="N11" s="45" t="s">
        <v>434</v>
      </c>
    </row>
    <row r="12" spans="1:14" x14ac:dyDescent="0.25">
      <c r="A12" s="67">
        <f t="shared" si="0"/>
        <v>8</v>
      </c>
      <c r="C12" s="92" t="s">
        <v>562</v>
      </c>
      <c r="D12" s="105" t="s">
        <v>489</v>
      </c>
      <c r="E12" s="106" t="s">
        <v>487</v>
      </c>
      <c r="F12" s="106" t="s">
        <v>490</v>
      </c>
      <c r="G12" t="s">
        <v>491</v>
      </c>
      <c r="H12" s="131" t="s">
        <v>538</v>
      </c>
      <c r="I12" s="1"/>
      <c r="J12" t="s">
        <v>259</v>
      </c>
      <c r="K12" t="s">
        <v>381</v>
      </c>
      <c r="L12" t="s">
        <v>6</v>
      </c>
      <c r="M12" t="s">
        <v>7</v>
      </c>
      <c r="N12" s="45" t="s">
        <v>367</v>
      </c>
    </row>
    <row r="13" spans="1:14" x14ac:dyDescent="0.25">
      <c r="A13" s="67">
        <f t="shared" si="0"/>
        <v>9</v>
      </c>
      <c r="C13" s="92" t="s">
        <v>562</v>
      </c>
      <c r="D13" s="118" t="s">
        <v>429</v>
      </c>
      <c r="E13" s="119" t="s">
        <v>429</v>
      </c>
      <c r="F13" s="119" t="s">
        <v>429</v>
      </c>
      <c r="G13" s="119" t="s">
        <v>429</v>
      </c>
      <c r="H13" s="138" t="s">
        <v>542</v>
      </c>
      <c r="I13" s="1"/>
      <c r="J13" t="s">
        <v>10</v>
      </c>
      <c r="K13" t="s">
        <v>381</v>
      </c>
      <c r="L13" t="s">
        <v>6</v>
      </c>
      <c r="M13" t="s">
        <v>7</v>
      </c>
      <c r="N13" s="45" t="s">
        <v>165</v>
      </c>
    </row>
    <row r="14" spans="1:14" x14ac:dyDescent="0.25">
      <c r="A14" s="67">
        <f t="shared" si="0"/>
        <v>10</v>
      </c>
      <c r="B14" s="68" t="s">
        <v>539</v>
      </c>
      <c r="C14" s="92" t="s">
        <v>562</v>
      </c>
      <c r="D14" s="118" t="s">
        <v>429</v>
      </c>
      <c r="E14" s="119" t="s">
        <v>429</v>
      </c>
      <c r="F14" s="119" t="s">
        <v>429</v>
      </c>
      <c r="G14" s="119" t="s">
        <v>429</v>
      </c>
      <c r="H14" s="138" t="s">
        <v>542</v>
      </c>
      <c r="I14" s="1"/>
      <c r="J14" s="26" t="s">
        <v>514</v>
      </c>
      <c r="K14" t="s">
        <v>381</v>
      </c>
      <c r="L14" t="s">
        <v>6</v>
      </c>
      <c r="M14" s="26" t="s">
        <v>7</v>
      </c>
      <c r="N14" s="45" t="s">
        <v>384</v>
      </c>
    </row>
    <row r="15" spans="1:14" x14ac:dyDescent="0.25">
      <c r="A15" s="67">
        <f t="shared" si="0"/>
        <v>11</v>
      </c>
      <c r="B15" s="68" t="s">
        <v>539</v>
      </c>
      <c r="C15" s="68"/>
      <c r="D15" s="118" t="s">
        <v>429</v>
      </c>
      <c r="E15" s="119" t="s">
        <v>429</v>
      </c>
      <c r="F15" s="119" t="s">
        <v>429</v>
      </c>
      <c r="G15" s="119" t="s">
        <v>429</v>
      </c>
      <c r="H15" s="138" t="s">
        <v>542</v>
      </c>
      <c r="I15" s="1"/>
      <c r="J15" s="26" t="s">
        <v>188</v>
      </c>
      <c r="K15" t="s">
        <v>381</v>
      </c>
      <c r="L15" t="s">
        <v>6</v>
      </c>
      <c r="M15" s="26" t="s">
        <v>7</v>
      </c>
      <c r="N15" s="45" t="s">
        <v>385</v>
      </c>
    </row>
    <row r="16" spans="1:14" x14ac:dyDescent="0.25">
      <c r="A16" s="90"/>
      <c r="B16" s="35"/>
      <c r="C16" s="35"/>
      <c r="D16" s="8"/>
      <c r="E16" s="35"/>
      <c r="F16" s="35"/>
      <c r="G16" s="35"/>
      <c r="H16" s="132"/>
      <c r="I16" s="8" t="s">
        <v>471</v>
      </c>
      <c r="J16" s="35"/>
      <c r="K16" s="35"/>
      <c r="L16" s="35"/>
      <c r="M16" s="35"/>
      <c r="N16" s="100"/>
    </row>
    <row r="17" spans="1:14" x14ac:dyDescent="0.25">
      <c r="A17" s="72">
        <f>A15+1</f>
        <v>12</v>
      </c>
      <c r="B17" s="68" t="s">
        <v>539</v>
      </c>
      <c r="D17" s="118" t="s">
        <v>429</v>
      </c>
      <c r="E17" s="119" t="s">
        <v>429</v>
      </c>
      <c r="F17" s="119" t="s">
        <v>429</v>
      </c>
      <c r="G17" s="119" t="s">
        <v>429</v>
      </c>
      <c r="H17" s="138" t="s">
        <v>542</v>
      </c>
      <c r="I17" s="1"/>
      <c r="J17" s="26" t="s">
        <v>430</v>
      </c>
      <c r="K17" s="27" t="s">
        <v>443</v>
      </c>
      <c r="L17" t="s">
        <v>6</v>
      </c>
      <c r="M17" t="s">
        <v>7</v>
      </c>
      <c r="N17" s="45" t="s">
        <v>171</v>
      </c>
    </row>
    <row r="18" spans="1:14" x14ac:dyDescent="0.25">
      <c r="A18" s="108">
        <f>A17+1</f>
        <v>13</v>
      </c>
      <c r="B18" s="68" t="s">
        <v>539</v>
      </c>
      <c r="C18" s="92" t="s">
        <v>562</v>
      </c>
      <c r="D18" s="112" t="s">
        <v>515</v>
      </c>
      <c r="E18" s="113" t="s">
        <v>493</v>
      </c>
      <c r="F18" s="113" t="s">
        <v>488</v>
      </c>
      <c r="G18" s="26" t="s">
        <v>565</v>
      </c>
      <c r="H18" s="141" t="s">
        <v>538</v>
      </c>
      <c r="I18" s="142"/>
      <c r="J18" s="26" t="s">
        <v>190</v>
      </c>
      <c r="K18" s="15" t="s">
        <v>411</v>
      </c>
      <c r="L18" s="26" t="s">
        <v>544</v>
      </c>
      <c r="M18" s="26" t="s">
        <v>7</v>
      </c>
      <c r="N18" s="45" t="s">
        <v>587</v>
      </c>
    </row>
    <row r="19" spans="1:14" x14ac:dyDescent="0.25">
      <c r="A19" s="72">
        <f>A18+1</f>
        <v>14</v>
      </c>
      <c r="B19" s="68" t="s">
        <v>539</v>
      </c>
      <c r="C19" s="92"/>
      <c r="D19" s="105" t="s">
        <v>515</v>
      </c>
      <c r="E19" s="106" t="s">
        <v>493</v>
      </c>
      <c r="F19" s="113" t="s">
        <v>488</v>
      </c>
      <c r="G19" t="s">
        <v>516</v>
      </c>
      <c r="H19" s="131" t="s">
        <v>538</v>
      </c>
      <c r="I19" s="1"/>
      <c r="J19" t="s">
        <v>16</v>
      </c>
      <c r="K19" t="s">
        <v>381</v>
      </c>
      <c r="L19" t="s">
        <v>6</v>
      </c>
      <c r="M19" t="s">
        <v>7</v>
      </c>
      <c r="N19" s="45" t="s">
        <v>171</v>
      </c>
    </row>
    <row r="20" spans="1:14" x14ac:dyDescent="0.25">
      <c r="A20" s="72">
        <f>A19+1</f>
        <v>15</v>
      </c>
      <c r="B20" s="69"/>
      <c r="C20" s="92"/>
      <c r="D20" s="105" t="s">
        <v>515</v>
      </c>
      <c r="E20" s="106" t="s">
        <v>493</v>
      </c>
      <c r="F20" s="106" t="s">
        <v>488</v>
      </c>
      <c r="G20" t="s">
        <v>543</v>
      </c>
      <c r="H20" s="131" t="s">
        <v>538</v>
      </c>
      <c r="I20" s="1"/>
      <c r="J20" t="s">
        <v>17</v>
      </c>
      <c r="K20" t="s">
        <v>381</v>
      </c>
      <c r="L20" t="s">
        <v>6</v>
      </c>
      <c r="M20" t="s">
        <v>7</v>
      </c>
      <c r="N20" s="45" t="s">
        <v>169</v>
      </c>
    </row>
    <row r="21" spans="1:14" x14ac:dyDescent="0.25">
      <c r="A21" s="72">
        <f>A20+1</f>
        <v>16</v>
      </c>
      <c r="D21" s="105" t="s">
        <v>515</v>
      </c>
      <c r="E21" s="106" t="s">
        <v>487</v>
      </c>
      <c r="F21" s="106" t="s">
        <v>488</v>
      </c>
      <c r="G21" s="26" t="s">
        <v>564</v>
      </c>
      <c r="H21" s="131" t="s">
        <v>538</v>
      </c>
      <c r="I21" s="1"/>
      <c r="J21" t="s">
        <v>394</v>
      </c>
      <c r="K21" t="s">
        <v>381</v>
      </c>
      <c r="L21" t="s">
        <v>6</v>
      </c>
      <c r="M21" t="s">
        <v>7</v>
      </c>
      <c r="N21" s="45" t="s">
        <v>169</v>
      </c>
    </row>
    <row r="22" spans="1:14" x14ac:dyDescent="0.25">
      <c r="A22" s="72">
        <f>A21+1</f>
        <v>17</v>
      </c>
      <c r="D22" s="118" t="s">
        <v>429</v>
      </c>
      <c r="E22" s="119" t="s">
        <v>429</v>
      </c>
      <c r="F22" s="119" t="s">
        <v>429</v>
      </c>
      <c r="G22" s="119" t="s">
        <v>429</v>
      </c>
      <c r="H22" s="138" t="s">
        <v>542</v>
      </c>
      <c r="I22" s="1"/>
      <c r="J22" s="27" t="s">
        <v>340</v>
      </c>
      <c r="K22" s="27" t="s">
        <v>422</v>
      </c>
      <c r="L22" s="27" t="s">
        <v>6</v>
      </c>
      <c r="M22" s="27" t="s">
        <v>193</v>
      </c>
      <c r="N22" s="52" t="s">
        <v>356</v>
      </c>
    </row>
    <row r="23" spans="1:14" x14ac:dyDescent="0.25">
      <c r="A23" s="90"/>
      <c r="B23" s="35"/>
      <c r="C23" s="35"/>
      <c r="D23" s="8"/>
      <c r="E23" s="35"/>
      <c r="F23" s="35"/>
      <c r="G23" s="35"/>
      <c r="H23" s="132"/>
      <c r="I23" s="103" t="s">
        <v>481</v>
      </c>
      <c r="J23" s="35"/>
      <c r="K23" s="35"/>
      <c r="L23" s="35"/>
      <c r="M23" s="35"/>
      <c r="N23" s="100"/>
    </row>
    <row r="24" spans="1:14" x14ac:dyDescent="0.25">
      <c r="A24" s="72">
        <f>A22+1</f>
        <v>18</v>
      </c>
      <c r="B24" s="68" t="s">
        <v>539</v>
      </c>
      <c r="C24" s="68"/>
      <c r="D24" s="118" t="s">
        <v>429</v>
      </c>
      <c r="E24" s="119" t="s">
        <v>429</v>
      </c>
      <c r="F24" s="119" t="s">
        <v>429</v>
      </c>
      <c r="G24" s="119" t="s">
        <v>429</v>
      </c>
      <c r="H24" s="138" t="s">
        <v>542</v>
      </c>
      <c r="I24" s="1"/>
      <c r="J24" s="26" t="s">
        <v>341</v>
      </c>
      <c r="K24" t="s">
        <v>381</v>
      </c>
      <c r="L24" t="s">
        <v>6</v>
      </c>
      <c r="M24" t="s">
        <v>7</v>
      </c>
      <c r="N24" s="52" t="s">
        <v>433</v>
      </c>
    </row>
    <row r="25" spans="1:14" x14ac:dyDescent="0.25">
      <c r="A25" s="72">
        <f>A24+1</f>
        <v>19</v>
      </c>
      <c r="B25" s="68" t="s">
        <v>539</v>
      </c>
      <c r="C25" s="92" t="s">
        <v>562</v>
      </c>
      <c r="D25" s="105" t="s">
        <v>489</v>
      </c>
      <c r="E25" s="106" t="s">
        <v>487</v>
      </c>
      <c r="F25" s="106" t="s">
        <v>490</v>
      </c>
      <c r="G25" s="26" t="s">
        <v>403</v>
      </c>
      <c r="H25" s="133" t="s">
        <v>540</v>
      </c>
      <c r="I25" s="1"/>
      <c r="J25" t="s">
        <v>404</v>
      </c>
      <c r="K25" t="s">
        <v>381</v>
      </c>
      <c r="L25" t="s">
        <v>6</v>
      </c>
      <c r="M25" t="s">
        <v>7</v>
      </c>
      <c r="N25" s="45" t="s">
        <v>171</v>
      </c>
    </row>
    <row r="26" spans="1:14" x14ac:dyDescent="0.25">
      <c r="A26" s="72">
        <f t="shared" ref="A26:A28" si="1">A25+1</f>
        <v>20</v>
      </c>
      <c r="C26" s="92" t="s">
        <v>562</v>
      </c>
      <c r="D26" s="105" t="s">
        <v>489</v>
      </c>
      <c r="E26" s="106" t="s">
        <v>487</v>
      </c>
      <c r="F26" s="106" t="s">
        <v>490</v>
      </c>
      <c r="G26" s="26" t="s">
        <v>546</v>
      </c>
      <c r="H26" s="131" t="s">
        <v>538</v>
      </c>
      <c r="I26" s="1"/>
      <c r="J26" t="s">
        <v>217</v>
      </c>
      <c r="K26" s="14" t="s">
        <v>411</v>
      </c>
      <c r="L26" t="s">
        <v>6</v>
      </c>
      <c r="M26" t="s">
        <v>7</v>
      </c>
      <c r="N26" s="45" t="s">
        <v>171</v>
      </c>
    </row>
    <row r="27" spans="1:14" x14ac:dyDescent="0.25">
      <c r="A27" s="72">
        <f t="shared" si="1"/>
        <v>21</v>
      </c>
      <c r="C27" s="92" t="s">
        <v>562</v>
      </c>
      <c r="D27" s="105" t="s">
        <v>515</v>
      </c>
      <c r="E27" s="106" t="s">
        <v>493</v>
      </c>
      <c r="F27" s="106" t="s">
        <v>488</v>
      </c>
      <c r="G27" t="s">
        <v>460</v>
      </c>
      <c r="H27" s="131" t="s">
        <v>538</v>
      </c>
      <c r="I27" s="1"/>
      <c r="J27" t="s">
        <v>458</v>
      </c>
      <c r="K27" s="14" t="s">
        <v>411</v>
      </c>
      <c r="L27" t="s">
        <v>413</v>
      </c>
      <c r="M27" t="s">
        <v>7</v>
      </c>
      <c r="N27" s="45"/>
    </row>
    <row r="28" spans="1:14" x14ac:dyDescent="0.25">
      <c r="A28" s="72">
        <f t="shared" si="1"/>
        <v>22</v>
      </c>
      <c r="C28" s="92" t="s">
        <v>562</v>
      </c>
      <c r="D28" s="105" t="s">
        <v>515</v>
      </c>
      <c r="E28" s="106" t="s">
        <v>487</v>
      </c>
      <c r="F28" s="106" t="s">
        <v>488</v>
      </c>
      <c r="G28" t="s">
        <v>461</v>
      </c>
      <c r="H28" s="131" t="s">
        <v>538</v>
      </c>
      <c r="I28" s="1"/>
      <c r="J28" t="s">
        <v>459</v>
      </c>
      <c r="K28" s="14" t="s">
        <v>411</v>
      </c>
      <c r="L28" t="s">
        <v>462</v>
      </c>
      <c r="M28" t="s">
        <v>7</v>
      </c>
      <c r="N28" s="45" t="s">
        <v>588</v>
      </c>
    </row>
    <row r="29" spans="1:14" x14ac:dyDescent="0.25">
      <c r="A29" s="67">
        <f t="shared" ref="A29:A37" si="2">A28+1</f>
        <v>23</v>
      </c>
      <c r="D29" s="105" t="s">
        <v>486</v>
      </c>
      <c r="E29" s="117" t="s">
        <v>487</v>
      </c>
      <c r="F29" s="123" t="s">
        <v>488</v>
      </c>
      <c r="G29" t="s">
        <v>517</v>
      </c>
      <c r="H29" s="131" t="s">
        <v>538</v>
      </c>
      <c r="I29" s="1"/>
      <c r="J29" t="s">
        <v>29</v>
      </c>
      <c r="K29" t="s">
        <v>381</v>
      </c>
      <c r="L29" t="s">
        <v>348</v>
      </c>
      <c r="M29" t="s">
        <v>7</v>
      </c>
      <c r="N29" s="43"/>
    </row>
    <row r="30" spans="1:14" x14ac:dyDescent="0.25">
      <c r="A30" s="67">
        <f t="shared" si="2"/>
        <v>24</v>
      </c>
      <c r="D30" s="118" t="s">
        <v>429</v>
      </c>
      <c r="E30" s="119" t="s">
        <v>429</v>
      </c>
      <c r="F30" s="119" t="s">
        <v>429</v>
      </c>
      <c r="G30" s="119" t="s">
        <v>429</v>
      </c>
      <c r="H30" s="138" t="s">
        <v>542</v>
      </c>
      <c r="I30" s="59"/>
      <c r="J30" s="60" t="s">
        <v>187</v>
      </c>
      <c r="K30" s="62" t="s">
        <v>411</v>
      </c>
      <c r="L30" s="61" t="s">
        <v>6</v>
      </c>
      <c r="M30" s="61" t="s">
        <v>15</v>
      </c>
      <c r="N30" s="43"/>
    </row>
    <row r="31" spans="1:14" x14ac:dyDescent="0.25">
      <c r="A31" s="67">
        <f t="shared" si="2"/>
        <v>25</v>
      </c>
      <c r="D31" s="118" t="s">
        <v>429</v>
      </c>
      <c r="E31" s="119" t="s">
        <v>429</v>
      </c>
      <c r="F31" s="119" t="s">
        <v>429</v>
      </c>
      <c r="G31" s="119" t="s">
        <v>429</v>
      </c>
      <c r="H31" s="138" t="s">
        <v>542</v>
      </c>
      <c r="I31" s="59"/>
      <c r="J31" s="60" t="s">
        <v>417</v>
      </c>
      <c r="K31" s="62" t="s">
        <v>411</v>
      </c>
      <c r="L31" s="61" t="s">
        <v>6</v>
      </c>
      <c r="M31" s="61" t="s">
        <v>15</v>
      </c>
      <c r="N31" s="43"/>
    </row>
    <row r="32" spans="1:14" x14ac:dyDescent="0.25">
      <c r="A32" s="67">
        <f t="shared" si="2"/>
        <v>26</v>
      </c>
      <c r="D32" s="111" t="s">
        <v>510</v>
      </c>
      <c r="E32" s="106" t="s">
        <v>495</v>
      </c>
      <c r="F32" s="117" t="str">
        <f t="shared" ref="F32" si="3">_xlfn.LET(
_xlpm.A,6-VALUE(RIGHT(TRIM(CLEAN(D32)),1)),
_xlpm.E,6-VALUE(RIGHT(TRIM(CLEAN(E32)),1)),
IF(AND(_xlpm.A&gt;=4,_xlpm.E&gt;=4),"S1",
IF(OR(AND(_xlpm.A=3,_xlpm.E&gt;=3),AND(_xlpm.A&gt;=4,_xlpm.E=3)),"S2",
IF(AND(_xlpm.A=2,_xlpm.E&gt;=3),"S3",
"S4"))))</f>
        <v>S2</v>
      </c>
      <c r="G32" t="s">
        <v>570</v>
      </c>
      <c r="H32" s="131" t="s">
        <v>538</v>
      </c>
      <c r="I32" s="59"/>
      <c r="J32" s="60" t="s">
        <v>416</v>
      </c>
      <c r="K32" s="62" t="s">
        <v>411</v>
      </c>
      <c r="L32" s="61" t="s">
        <v>275</v>
      </c>
      <c r="M32" s="61" t="s">
        <v>279</v>
      </c>
      <c r="N32" s="43"/>
    </row>
    <row r="33" spans="1:14" x14ac:dyDescent="0.25">
      <c r="A33" s="67">
        <f t="shared" si="2"/>
        <v>27</v>
      </c>
      <c r="D33" s="118" t="s">
        <v>429</v>
      </c>
      <c r="E33" s="119" t="s">
        <v>429</v>
      </c>
      <c r="F33" s="119" t="s">
        <v>429</v>
      </c>
      <c r="G33" s="119" t="s">
        <v>429</v>
      </c>
      <c r="H33" s="138" t="s">
        <v>542</v>
      </c>
      <c r="I33" s="59"/>
      <c r="J33" s="60" t="s">
        <v>274</v>
      </c>
      <c r="K33" s="62" t="s">
        <v>411</v>
      </c>
      <c r="L33" s="61" t="s">
        <v>275</v>
      </c>
      <c r="M33" s="61" t="s">
        <v>277</v>
      </c>
      <c r="N33" s="43"/>
    </row>
    <row r="34" spans="1:14" x14ac:dyDescent="0.25">
      <c r="A34" s="67">
        <f t="shared" si="2"/>
        <v>28</v>
      </c>
      <c r="C34" s="92" t="s">
        <v>344</v>
      </c>
      <c r="D34" s="111" t="s">
        <v>510</v>
      </c>
      <c r="E34" s="106" t="s">
        <v>495</v>
      </c>
      <c r="F34" s="117" t="str">
        <f t="shared" ref="F34" si="4">_xlfn.LET(
_xlpm.A,6-VALUE(RIGHT(TRIM(CLEAN(D34)),1)),
_xlpm.E,6-VALUE(RIGHT(TRIM(CLEAN(E34)),1)),
IF(AND(_xlpm.A&gt;=4,_xlpm.E&gt;=4),"S1",
IF(OR(AND(_xlpm.A=3,_xlpm.E&gt;=3),AND(_xlpm.A&gt;=4,_xlpm.E=3)),"S2",
IF(AND(_xlpm.A=2,_xlpm.E&gt;=3),"S3",
"S4"))))</f>
        <v>S2</v>
      </c>
      <c r="G34" s="140" t="s">
        <v>572</v>
      </c>
      <c r="H34" s="131" t="s">
        <v>538</v>
      </c>
      <c r="I34" s="59"/>
      <c r="J34" s="60" t="s">
        <v>415</v>
      </c>
      <c r="K34" s="62" t="s">
        <v>411</v>
      </c>
      <c r="L34" s="61" t="s">
        <v>211</v>
      </c>
      <c r="M34" s="61" t="s">
        <v>281</v>
      </c>
      <c r="N34" s="43"/>
    </row>
    <row r="35" spans="1:14" x14ac:dyDescent="0.25">
      <c r="A35" s="67">
        <f>A34+1</f>
        <v>29</v>
      </c>
      <c r="C35" s="92" t="s">
        <v>344</v>
      </c>
      <c r="D35" s="118" t="s">
        <v>429</v>
      </c>
      <c r="E35" s="119" t="s">
        <v>429</v>
      </c>
      <c r="F35" s="119" t="s">
        <v>429</v>
      </c>
      <c r="G35" s="119" t="s">
        <v>429</v>
      </c>
      <c r="H35" s="138" t="s">
        <v>542</v>
      </c>
      <c r="I35" s="59"/>
      <c r="J35" s="60" t="s">
        <v>51</v>
      </c>
      <c r="K35" s="62" t="s">
        <v>411</v>
      </c>
      <c r="L35" s="61" t="s">
        <v>50</v>
      </c>
      <c r="M35" s="61" t="s">
        <v>270</v>
      </c>
      <c r="N35" s="43"/>
    </row>
    <row r="36" spans="1:14" x14ac:dyDescent="0.25">
      <c r="A36" s="67">
        <f t="shared" si="2"/>
        <v>30</v>
      </c>
      <c r="D36" s="105" t="s">
        <v>510</v>
      </c>
      <c r="E36" s="106" t="s">
        <v>495</v>
      </c>
      <c r="F36" s="117" t="str">
        <f t="shared" ref="F36" si="5">_xlfn.LET(
_xlpm.A,6-VALUE(RIGHT(TRIM(CLEAN(D36)),1)),
_xlpm.E,6-VALUE(RIGHT(TRIM(CLEAN(E36)),1)),
IF(AND(_xlpm.A&gt;=4,_xlpm.E&gt;=4),"S1",
IF(OR(AND(_xlpm.A=3,_xlpm.E&gt;=3),AND(_xlpm.A&gt;=4,_xlpm.E=3)),"S2",
IF(AND(_xlpm.A=2,_xlpm.E&gt;=3),"S3",
"S4"))))</f>
        <v>S2</v>
      </c>
      <c r="G36" t="s">
        <v>571</v>
      </c>
      <c r="H36" s="131" t="s">
        <v>538</v>
      </c>
      <c r="I36" s="59"/>
      <c r="J36" s="60" t="s">
        <v>58</v>
      </c>
      <c r="K36" s="62" t="s">
        <v>411</v>
      </c>
      <c r="L36" s="61" t="s">
        <v>59</v>
      </c>
      <c r="M36" s="61" t="s">
        <v>283</v>
      </c>
      <c r="N36" s="43"/>
    </row>
    <row r="37" spans="1:14" x14ac:dyDescent="0.25">
      <c r="A37" s="67">
        <f t="shared" si="2"/>
        <v>31</v>
      </c>
      <c r="D37" s="118" t="s">
        <v>429</v>
      </c>
      <c r="E37" s="119" t="s">
        <v>429</v>
      </c>
      <c r="F37" s="119" t="s">
        <v>429</v>
      </c>
      <c r="G37" s="119" t="s">
        <v>429</v>
      </c>
      <c r="H37" s="138" t="s">
        <v>542</v>
      </c>
      <c r="I37" s="59"/>
      <c r="J37" s="60" t="s">
        <v>414</v>
      </c>
      <c r="K37" s="62" t="s">
        <v>411</v>
      </c>
      <c r="L37" s="61" t="s">
        <v>387</v>
      </c>
      <c r="M37" s="61" t="s">
        <v>388</v>
      </c>
      <c r="N37" s="43"/>
    </row>
    <row r="38" spans="1:14" x14ac:dyDescent="0.25">
      <c r="A38" s="93"/>
      <c r="B38" s="35"/>
      <c r="C38" s="35"/>
      <c r="D38" s="8"/>
      <c r="E38" s="35"/>
      <c r="F38" s="35"/>
      <c r="G38" s="35"/>
      <c r="H38" s="132"/>
      <c r="I38" s="8" t="s">
        <v>472</v>
      </c>
      <c r="J38" s="35"/>
      <c r="K38" s="35"/>
      <c r="L38" s="35"/>
      <c r="M38" s="35"/>
      <c r="N38" s="95"/>
    </row>
    <row r="39" spans="1:14" x14ac:dyDescent="0.25">
      <c r="A39" s="67">
        <f>A37+1</f>
        <v>32</v>
      </c>
      <c r="D39" s="139" t="s">
        <v>515</v>
      </c>
      <c r="E39" s="113" t="s">
        <v>487</v>
      </c>
      <c r="F39" s="113" t="s">
        <v>488</v>
      </c>
      <c r="G39" s="26" t="s">
        <v>578</v>
      </c>
      <c r="H39" s="133" t="s">
        <v>540</v>
      </c>
      <c r="I39" s="1"/>
      <c r="J39" s="15" t="s">
        <v>577</v>
      </c>
      <c r="K39" s="14" t="s">
        <v>382</v>
      </c>
      <c r="L39" t="s">
        <v>6</v>
      </c>
      <c r="M39" t="s">
        <v>7</v>
      </c>
      <c r="N39" s="43"/>
    </row>
    <row r="40" spans="1:14" x14ac:dyDescent="0.25">
      <c r="A40" s="67">
        <f>A39+1</f>
        <v>33</v>
      </c>
      <c r="B40" s="68" t="s">
        <v>251</v>
      </c>
      <c r="D40" s="118" t="s">
        <v>429</v>
      </c>
      <c r="E40" s="119" t="s">
        <v>429</v>
      </c>
      <c r="F40" s="119" t="s">
        <v>429</v>
      </c>
      <c r="G40" s="119" t="s">
        <v>429</v>
      </c>
      <c r="H40" s="138" t="s">
        <v>542</v>
      </c>
      <c r="I40" s="1"/>
      <c r="J40" s="14" t="s">
        <v>81</v>
      </c>
      <c r="K40" t="s">
        <v>381</v>
      </c>
      <c r="L40" t="s">
        <v>6</v>
      </c>
      <c r="M40" t="s">
        <v>7</v>
      </c>
      <c r="N40" s="43" t="s">
        <v>134</v>
      </c>
    </row>
    <row r="41" spans="1:14" x14ac:dyDescent="0.25">
      <c r="A41" s="67">
        <f>A39+1</f>
        <v>33</v>
      </c>
      <c r="B41" s="68" t="s">
        <v>251</v>
      </c>
      <c r="D41" s="118" t="s">
        <v>429</v>
      </c>
      <c r="E41" s="119" t="s">
        <v>429</v>
      </c>
      <c r="F41" s="119" t="s">
        <v>429</v>
      </c>
      <c r="G41" s="119" t="s">
        <v>429</v>
      </c>
      <c r="H41" s="138" t="s">
        <v>542</v>
      </c>
      <c r="I41" s="1"/>
      <c r="J41" s="14" t="s">
        <v>536</v>
      </c>
      <c r="K41" t="s">
        <v>420</v>
      </c>
      <c r="L41" t="s">
        <v>6</v>
      </c>
      <c r="M41" t="s">
        <v>7</v>
      </c>
      <c r="N41" s="43" t="s">
        <v>169</v>
      </c>
    </row>
    <row r="42" spans="1:14" x14ac:dyDescent="0.25">
      <c r="A42" s="67">
        <f>A41+1</f>
        <v>34</v>
      </c>
      <c r="B42" s="68" t="s">
        <v>251</v>
      </c>
      <c r="C42" s="68"/>
      <c r="D42" s="118" t="s">
        <v>429</v>
      </c>
      <c r="E42" s="119" t="s">
        <v>429</v>
      </c>
      <c r="F42" s="119" t="s">
        <v>429</v>
      </c>
      <c r="G42" s="119" t="s">
        <v>429</v>
      </c>
      <c r="H42" s="138" t="s">
        <v>542</v>
      </c>
      <c r="I42" s="1"/>
      <c r="J42" s="14" t="s">
        <v>234</v>
      </c>
      <c r="K42" t="s">
        <v>381</v>
      </c>
      <c r="L42" t="s">
        <v>6</v>
      </c>
      <c r="M42" t="s">
        <v>7</v>
      </c>
      <c r="N42" s="43" t="s">
        <v>377</v>
      </c>
    </row>
    <row r="43" spans="1:14" x14ac:dyDescent="0.25">
      <c r="A43" s="67">
        <f t="shared" ref="A43:A46" si="6">A42+1</f>
        <v>35</v>
      </c>
      <c r="C43" s="69"/>
      <c r="D43" s="118" t="s">
        <v>429</v>
      </c>
      <c r="E43" s="119" t="s">
        <v>429</v>
      </c>
      <c r="F43" s="119" t="s">
        <v>429</v>
      </c>
      <c r="G43" s="119" t="s">
        <v>429</v>
      </c>
      <c r="H43" s="138" t="s">
        <v>542</v>
      </c>
      <c r="I43" s="1"/>
      <c r="J43" s="15" t="s">
        <v>233</v>
      </c>
      <c r="K43" t="s">
        <v>381</v>
      </c>
      <c r="L43" t="s">
        <v>6</v>
      </c>
      <c r="M43" t="s">
        <v>7</v>
      </c>
      <c r="N43" s="43"/>
    </row>
    <row r="44" spans="1:14" x14ac:dyDescent="0.25">
      <c r="A44" s="67">
        <f t="shared" si="6"/>
        <v>36</v>
      </c>
      <c r="C44" s="69"/>
      <c r="D44" s="139" t="s">
        <v>515</v>
      </c>
      <c r="E44" s="113" t="s">
        <v>487</v>
      </c>
      <c r="F44" s="113" t="s">
        <v>488</v>
      </c>
      <c r="G44" s="26" t="s">
        <v>535</v>
      </c>
      <c r="H44" s="133" t="s">
        <v>540</v>
      </c>
      <c r="I44" s="1"/>
      <c r="J44" s="15" t="s">
        <v>285</v>
      </c>
      <c r="K44" t="s">
        <v>420</v>
      </c>
      <c r="L44" t="s">
        <v>6</v>
      </c>
      <c r="M44" t="s">
        <v>7</v>
      </c>
      <c r="N44" s="43" t="s">
        <v>169</v>
      </c>
    </row>
    <row r="45" spans="1:14" x14ac:dyDescent="0.25">
      <c r="A45" s="67">
        <f t="shared" si="6"/>
        <v>37</v>
      </c>
      <c r="D45" s="118" t="s">
        <v>429</v>
      </c>
      <c r="E45" s="119" t="s">
        <v>429</v>
      </c>
      <c r="F45" s="119" t="s">
        <v>429</v>
      </c>
      <c r="G45" s="119" t="s">
        <v>429</v>
      </c>
      <c r="H45" s="138" t="s">
        <v>542</v>
      </c>
      <c r="I45" s="1"/>
      <c r="J45" s="14" t="s">
        <v>84</v>
      </c>
      <c r="K45" t="s">
        <v>420</v>
      </c>
      <c r="L45" t="s">
        <v>6</v>
      </c>
      <c r="M45" t="s">
        <v>7</v>
      </c>
      <c r="N45" s="43" t="s">
        <v>169</v>
      </c>
    </row>
    <row r="46" spans="1:14" x14ac:dyDescent="0.25">
      <c r="A46" s="67">
        <f t="shared" si="6"/>
        <v>38</v>
      </c>
      <c r="D46" s="118" t="s">
        <v>429</v>
      </c>
      <c r="E46" s="119" t="s">
        <v>429</v>
      </c>
      <c r="F46" s="119" t="s">
        <v>429</v>
      </c>
      <c r="G46" s="119" t="s">
        <v>429</v>
      </c>
      <c r="H46" s="138" t="s">
        <v>542</v>
      </c>
      <c r="I46" s="1"/>
      <c r="J46" s="14" t="s">
        <v>378</v>
      </c>
      <c r="K46" t="s">
        <v>381</v>
      </c>
      <c r="L46" t="s">
        <v>6</v>
      </c>
      <c r="M46" t="s">
        <v>7</v>
      </c>
      <c r="N46" s="43" t="s">
        <v>377</v>
      </c>
    </row>
    <row r="47" spans="1:14" x14ac:dyDescent="0.25">
      <c r="A47" s="93"/>
      <c r="B47" s="35"/>
      <c r="C47" s="35"/>
      <c r="D47" s="8"/>
      <c r="E47" s="35"/>
      <c r="F47" s="35"/>
      <c r="G47" s="35"/>
      <c r="H47" s="132"/>
      <c r="I47" s="8" t="s">
        <v>473</v>
      </c>
      <c r="J47" s="35"/>
      <c r="K47" s="35"/>
      <c r="L47" s="35"/>
      <c r="M47" s="35"/>
      <c r="N47" s="95"/>
    </row>
    <row r="48" spans="1:14" x14ac:dyDescent="0.25">
      <c r="A48" s="67">
        <f>A46+1</f>
        <v>39</v>
      </c>
      <c r="D48" s="105" t="s">
        <v>489</v>
      </c>
      <c r="E48" s="106" t="s">
        <v>495</v>
      </c>
      <c r="F48" s="106" t="s">
        <v>490</v>
      </c>
      <c r="G48" s="144" t="s">
        <v>545</v>
      </c>
      <c r="H48" s="133" t="s">
        <v>540</v>
      </c>
      <c r="I48" s="1"/>
      <c r="J48" s="15" t="s">
        <v>463</v>
      </c>
      <c r="K48" t="s">
        <v>420</v>
      </c>
      <c r="L48" t="s">
        <v>6</v>
      </c>
      <c r="M48" t="s">
        <v>7</v>
      </c>
      <c r="N48" s="43" t="s">
        <v>344</v>
      </c>
    </row>
    <row r="49" spans="1:14" x14ac:dyDescent="0.25">
      <c r="A49" s="67">
        <f>A48+1</f>
        <v>40</v>
      </c>
      <c r="D49" s="118" t="s">
        <v>429</v>
      </c>
      <c r="E49" s="119" t="s">
        <v>429</v>
      </c>
      <c r="F49" s="119" t="s">
        <v>429</v>
      </c>
      <c r="G49" s="119" t="s">
        <v>429</v>
      </c>
      <c r="H49" s="138" t="s">
        <v>542</v>
      </c>
      <c r="I49" s="1"/>
      <c r="J49" s="15" t="s">
        <v>464</v>
      </c>
      <c r="K49" t="s">
        <v>420</v>
      </c>
      <c r="L49" t="s">
        <v>6</v>
      </c>
      <c r="M49" t="s">
        <v>7</v>
      </c>
      <c r="N49" s="43" t="s">
        <v>344</v>
      </c>
    </row>
    <row r="50" spans="1:14" x14ac:dyDescent="0.25">
      <c r="A50" s="67">
        <f t="shared" ref="A50:A56" si="7">A49+1</f>
        <v>41</v>
      </c>
      <c r="D50" s="111" t="s">
        <v>510</v>
      </c>
      <c r="E50" s="106" t="s">
        <v>495</v>
      </c>
      <c r="F50" s="117" t="str">
        <f t="shared" ref="F50" si="8">_xlfn.LET(
_xlpm.A,6-VALUE(RIGHT(TRIM(CLEAN(D50)),1)),
_xlpm.E,6-VALUE(RIGHT(TRIM(CLEAN(E50)),1)),
IF(AND(_xlpm.A&gt;=4,_xlpm.E&gt;=4),"S1",
IF(OR(AND(_xlpm.A=3,_xlpm.E&gt;=3),AND(_xlpm.A&gt;=4,_xlpm.E=3)),"S2",
IF(AND(_xlpm.A=2,_xlpm.E&gt;=3),"S3",
"S4"))))</f>
        <v>S2</v>
      </c>
      <c r="G50" s="26" t="s">
        <v>575</v>
      </c>
      <c r="H50" s="133" t="s">
        <v>540</v>
      </c>
      <c r="I50" s="1"/>
      <c r="J50" s="15" t="s">
        <v>573</v>
      </c>
      <c r="K50" t="s">
        <v>420</v>
      </c>
      <c r="L50" t="s">
        <v>6</v>
      </c>
      <c r="M50" t="s">
        <v>7</v>
      </c>
      <c r="N50" s="43" t="s">
        <v>169</v>
      </c>
    </row>
    <row r="51" spans="1:14" x14ac:dyDescent="0.25">
      <c r="A51" s="67">
        <f t="shared" si="7"/>
        <v>42</v>
      </c>
      <c r="D51" s="105" t="s">
        <v>486</v>
      </c>
      <c r="E51" s="117" t="s">
        <v>487</v>
      </c>
      <c r="F51" s="117" t="s">
        <v>488</v>
      </c>
      <c r="G51" s="140" t="s">
        <v>426</v>
      </c>
      <c r="H51" s="133" t="s">
        <v>540</v>
      </c>
      <c r="I51" s="1"/>
      <c r="J51" s="14" t="s">
        <v>466</v>
      </c>
      <c r="K51" t="s">
        <v>420</v>
      </c>
      <c r="L51" t="s">
        <v>6</v>
      </c>
      <c r="M51" t="s">
        <v>7</v>
      </c>
      <c r="N51" s="43"/>
    </row>
    <row r="52" spans="1:14" x14ac:dyDescent="0.25">
      <c r="A52" s="67">
        <f t="shared" si="7"/>
        <v>43</v>
      </c>
      <c r="D52" s="112" t="s">
        <v>489</v>
      </c>
      <c r="E52" s="113" t="s">
        <v>495</v>
      </c>
      <c r="F52" s="113" t="s">
        <v>490</v>
      </c>
      <c r="G52" s="26" t="s">
        <v>427</v>
      </c>
      <c r="H52" s="133" t="s">
        <v>540</v>
      </c>
      <c r="I52" s="1"/>
      <c r="J52" s="14" t="s">
        <v>391</v>
      </c>
      <c r="K52" t="s">
        <v>420</v>
      </c>
      <c r="L52" t="s">
        <v>6</v>
      </c>
      <c r="M52" t="s">
        <v>7</v>
      </c>
      <c r="N52" s="43"/>
    </row>
    <row r="53" spans="1:14" ht="15" customHeight="1" x14ac:dyDescent="0.25">
      <c r="A53" s="67">
        <f t="shared" si="7"/>
        <v>44</v>
      </c>
      <c r="D53" s="112" t="s">
        <v>489</v>
      </c>
      <c r="E53" s="113" t="s">
        <v>495</v>
      </c>
      <c r="F53" s="113" t="s">
        <v>490</v>
      </c>
      <c r="G53" s="26" t="s">
        <v>568</v>
      </c>
      <c r="H53" s="133" t="s">
        <v>540</v>
      </c>
      <c r="I53" s="1"/>
      <c r="J53" s="15" t="s">
        <v>566</v>
      </c>
      <c r="K53" t="s">
        <v>420</v>
      </c>
      <c r="L53" t="s">
        <v>6</v>
      </c>
      <c r="M53" t="s">
        <v>7</v>
      </c>
      <c r="N53" s="45"/>
    </row>
    <row r="54" spans="1:14" x14ac:dyDescent="0.25">
      <c r="A54" s="67">
        <f t="shared" si="7"/>
        <v>45</v>
      </c>
      <c r="D54" s="112" t="s">
        <v>489</v>
      </c>
      <c r="E54" s="113" t="s">
        <v>495</v>
      </c>
      <c r="F54" s="113" t="s">
        <v>490</v>
      </c>
      <c r="G54" t="s">
        <v>567</v>
      </c>
      <c r="H54" s="133" t="s">
        <v>540</v>
      </c>
      <c r="I54" s="1"/>
      <c r="J54" s="14" t="s">
        <v>467</v>
      </c>
      <c r="K54" t="s">
        <v>420</v>
      </c>
      <c r="L54" t="s">
        <v>6</v>
      </c>
      <c r="M54" t="s">
        <v>7</v>
      </c>
      <c r="N54" s="43"/>
    </row>
    <row r="55" spans="1:14" x14ac:dyDescent="0.25">
      <c r="A55" s="67">
        <f t="shared" si="7"/>
        <v>46</v>
      </c>
      <c r="D55" s="112" t="s">
        <v>489</v>
      </c>
      <c r="E55" s="113" t="s">
        <v>495</v>
      </c>
      <c r="F55" s="113" t="s">
        <v>490</v>
      </c>
      <c r="G55" t="s">
        <v>553</v>
      </c>
      <c r="H55" s="133" t="s">
        <v>540</v>
      </c>
      <c r="I55" s="1"/>
      <c r="J55" s="14" t="s">
        <v>468</v>
      </c>
      <c r="K55" t="s">
        <v>420</v>
      </c>
      <c r="L55" t="s">
        <v>6</v>
      </c>
      <c r="M55" t="s">
        <v>392</v>
      </c>
      <c r="N55" s="43"/>
    </row>
    <row r="56" spans="1:14" x14ac:dyDescent="0.25">
      <c r="A56" s="67">
        <f t="shared" si="7"/>
        <v>47</v>
      </c>
      <c r="D56" s="105" t="s">
        <v>486</v>
      </c>
      <c r="E56" s="106" t="s">
        <v>487</v>
      </c>
      <c r="F56" s="106" t="s">
        <v>488</v>
      </c>
      <c r="G56" t="s">
        <v>400</v>
      </c>
      <c r="H56" s="131" t="s">
        <v>538</v>
      </c>
      <c r="I56" s="1"/>
      <c r="J56" s="15" t="s">
        <v>91</v>
      </c>
      <c r="K56" t="s">
        <v>381</v>
      </c>
      <c r="L56" t="s">
        <v>6</v>
      </c>
      <c r="M56" t="s">
        <v>7</v>
      </c>
      <c r="N56" s="43" t="s">
        <v>361</v>
      </c>
    </row>
    <row r="57" spans="1:14" x14ac:dyDescent="0.25">
      <c r="A57" s="93"/>
      <c r="B57" s="35"/>
      <c r="C57" s="35"/>
      <c r="D57" s="8"/>
      <c r="E57" s="35"/>
      <c r="F57" s="35"/>
      <c r="G57" s="35"/>
      <c r="H57" s="132"/>
      <c r="I57" s="8" t="s">
        <v>474</v>
      </c>
      <c r="J57" s="35"/>
      <c r="K57" s="35"/>
      <c r="L57" s="35"/>
      <c r="M57" s="35"/>
      <c r="N57" s="95"/>
    </row>
    <row r="58" spans="1:14" x14ac:dyDescent="0.25">
      <c r="A58" s="67">
        <f>A56+1</f>
        <v>48</v>
      </c>
      <c r="D58" s="112" t="s">
        <v>489</v>
      </c>
      <c r="E58" s="113" t="s">
        <v>495</v>
      </c>
      <c r="F58" s="113" t="s">
        <v>490</v>
      </c>
      <c r="G58" s="119" t="s">
        <v>583</v>
      </c>
      <c r="H58" s="133" t="s">
        <v>540</v>
      </c>
      <c r="I58" s="1"/>
      <c r="J58" s="14" t="s">
        <v>547</v>
      </c>
      <c r="K58" s="14" t="s">
        <v>550</v>
      </c>
      <c r="L58" t="s">
        <v>6</v>
      </c>
      <c r="M58" t="s">
        <v>7</v>
      </c>
      <c r="N58" s="65"/>
    </row>
    <row r="59" spans="1:14" x14ac:dyDescent="0.25">
      <c r="A59" s="67">
        <f>A58+1</f>
        <v>49</v>
      </c>
      <c r="D59" s="105" t="s">
        <v>489</v>
      </c>
      <c r="E59" s="106" t="s">
        <v>495</v>
      </c>
      <c r="F59" s="106" t="str">
        <f t="shared" ref="F59:F60" si="9">_xlfn.LET(
_xlpm.A,6-VALUE(RIGHT(TRIM(CLEAN(D59)),1)),
_xlpm.E,6-VALUE(RIGHT(TRIM(CLEAN(E59)),1)),
IF(AND(_xlpm.A&gt;=4,_xlpm.E&gt;=4),"S1",
IF(OR(AND(_xlpm.A=3,_xlpm.E&gt;=3),AND(_xlpm.A&gt;=4,_xlpm.E=3)),"S2",
IF(AND(_xlpm.A=2,_xlpm.E&gt;=3),"S3",
"S4"))))</f>
        <v>S3</v>
      </c>
      <c r="G59" s="144" t="s">
        <v>569</v>
      </c>
      <c r="H59" s="145" t="s">
        <v>540</v>
      </c>
      <c r="I59" s="1"/>
      <c r="J59" s="14" t="s">
        <v>548</v>
      </c>
      <c r="K59" s="14" t="s">
        <v>550</v>
      </c>
      <c r="L59" t="s">
        <v>6</v>
      </c>
      <c r="M59" t="s">
        <v>7</v>
      </c>
      <c r="N59" s="43"/>
    </row>
    <row r="60" spans="1:14" x14ac:dyDescent="0.25">
      <c r="A60" s="67">
        <f>A59+1</f>
        <v>50</v>
      </c>
      <c r="D60" s="105" t="s">
        <v>489</v>
      </c>
      <c r="E60" s="106" t="s">
        <v>495</v>
      </c>
      <c r="F60" s="113" t="str">
        <f t="shared" si="9"/>
        <v>S3</v>
      </c>
      <c r="G60" t="s">
        <v>553</v>
      </c>
      <c r="H60" s="133" t="s">
        <v>540</v>
      </c>
      <c r="I60" s="1"/>
      <c r="J60" s="14" t="s">
        <v>549</v>
      </c>
      <c r="K60" s="14" t="s">
        <v>550</v>
      </c>
      <c r="L60" t="s">
        <v>6</v>
      </c>
      <c r="M60" t="s">
        <v>7</v>
      </c>
      <c r="N60" s="43"/>
    </row>
    <row r="61" spans="1:14" x14ac:dyDescent="0.25">
      <c r="A61" s="93"/>
      <c r="B61" s="35"/>
      <c r="C61" s="35"/>
      <c r="D61" s="8"/>
      <c r="E61" s="35"/>
      <c r="F61" s="35"/>
      <c r="G61" s="35"/>
      <c r="H61" s="132"/>
      <c r="I61" s="91" t="s">
        <v>480</v>
      </c>
      <c r="J61" s="35"/>
      <c r="K61" s="35"/>
      <c r="L61" s="35"/>
      <c r="M61" s="35"/>
      <c r="N61" s="95"/>
    </row>
    <row r="62" spans="1:14" x14ac:dyDescent="0.25">
      <c r="A62" s="72">
        <f>A60+1</f>
        <v>51</v>
      </c>
      <c r="B62" s="68" t="s">
        <v>539</v>
      </c>
      <c r="C62" s="68"/>
      <c r="D62" s="105" t="s">
        <v>489</v>
      </c>
      <c r="E62" s="106" t="s">
        <v>487</v>
      </c>
      <c r="F62" s="106" t="s">
        <v>490</v>
      </c>
      <c r="G62" t="s">
        <v>533</v>
      </c>
      <c r="H62" s="133" t="s">
        <v>540</v>
      </c>
      <c r="I62" s="1"/>
      <c r="J62" s="14" t="s">
        <v>469</v>
      </c>
      <c r="K62" t="s">
        <v>420</v>
      </c>
      <c r="L62" t="s">
        <v>6</v>
      </c>
      <c r="M62" t="s">
        <v>7</v>
      </c>
      <c r="N62" s="43" t="s">
        <v>346</v>
      </c>
    </row>
    <row r="63" spans="1:14" x14ac:dyDescent="0.25">
      <c r="A63" s="72">
        <f>A62+1</f>
        <v>52</v>
      </c>
      <c r="B63" s="68" t="s">
        <v>539</v>
      </c>
      <c r="C63" s="69"/>
      <c r="D63" s="111" t="s">
        <v>486</v>
      </c>
      <c r="E63" s="106" t="s">
        <v>493</v>
      </c>
      <c r="F63" s="106" t="s">
        <v>488</v>
      </c>
      <c r="G63" t="s">
        <v>492</v>
      </c>
      <c r="H63" s="131" t="s">
        <v>538</v>
      </c>
      <c r="I63" s="1"/>
      <c r="J63" s="14" t="s">
        <v>345</v>
      </c>
      <c r="K63" t="s">
        <v>381</v>
      </c>
      <c r="L63" t="s">
        <v>6</v>
      </c>
      <c r="M63" t="s">
        <v>7</v>
      </c>
      <c r="N63" s="43" t="s">
        <v>362</v>
      </c>
    </row>
    <row r="64" spans="1:14" x14ac:dyDescent="0.25">
      <c r="A64" s="72">
        <f>A63+1</f>
        <v>53</v>
      </c>
      <c r="D64" s="118" t="s">
        <v>429</v>
      </c>
      <c r="E64" s="119" t="s">
        <v>429</v>
      </c>
      <c r="F64" s="119" t="s">
        <v>429</v>
      </c>
      <c r="G64" s="119" t="s">
        <v>429</v>
      </c>
      <c r="H64" s="138" t="s">
        <v>542</v>
      </c>
      <c r="I64" s="1"/>
      <c r="J64" s="14" t="s">
        <v>408</v>
      </c>
      <c r="K64" s="14" t="s">
        <v>411</v>
      </c>
      <c r="L64" t="s">
        <v>6</v>
      </c>
      <c r="M64" t="s">
        <v>7</v>
      </c>
      <c r="N64" s="43"/>
    </row>
    <row r="65" spans="1:14" x14ac:dyDescent="0.25">
      <c r="A65" s="93"/>
      <c r="B65" s="35"/>
      <c r="C65" s="35"/>
      <c r="D65" s="8"/>
      <c r="E65" s="35"/>
      <c r="F65" s="35"/>
      <c r="G65" s="35"/>
      <c r="H65" s="132"/>
      <c r="I65" s="91" t="s">
        <v>479</v>
      </c>
      <c r="J65" s="35"/>
      <c r="K65" s="35"/>
      <c r="L65" s="35"/>
      <c r="M65" s="35"/>
      <c r="N65" s="95"/>
    </row>
    <row r="66" spans="1:14" x14ac:dyDescent="0.25">
      <c r="A66" s="67">
        <f>A64+1</f>
        <v>54</v>
      </c>
      <c r="B66" s="26"/>
      <c r="D66" s="118" t="s">
        <v>429</v>
      </c>
      <c r="E66" s="119" t="s">
        <v>429</v>
      </c>
      <c r="F66" s="119" t="s">
        <v>429</v>
      </c>
      <c r="G66" s="119" t="s">
        <v>429</v>
      </c>
      <c r="H66" s="138" t="s">
        <v>542</v>
      </c>
      <c r="I66" s="1"/>
      <c r="J66" s="15" t="s">
        <v>521</v>
      </c>
      <c r="K66" s="14" t="s">
        <v>411</v>
      </c>
      <c r="L66" t="s">
        <v>6</v>
      </c>
      <c r="M66" t="s">
        <v>7</v>
      </c>
      <c r="N66" s="22" t="s">
        <v>366</v>
      </c>
    </row>
    <row r="67" spans="1:14" x14ac:dyDescent="0.25">
      <c r="A67" s="67">
        <f>A66+1</f>
        <v>55</v>
      </c>
      <c r="B67" s="26"/>
      <c r="D67" s="118" t="s">
        <v>429</v>
      </c>
      <c r="E67" s="119" t="s">
        <v>429</v>
      </c>
      <c r="F67" s="119" t="s">
        <v>429</v>
      </c>
      <c r="G67" s="119" t="s">
        <v>429</v>
      </c>
      <c r="H67" s="138" t="s">
        <v>542</v>
      </c>
      <c r="I67" s="1"/>
      <c r="J67" s="15" t="s">
        <v>522</v>
      </c>
      <c r="K67" s="14" t="s">
        <v>411</v>
      </c>
      <c r="L67" t="s">
        <v>6</v>
      </c>
      <c r="M67" t="s">
        <v>7</v>
      </c>
      <c r="N67" s="22" t="s">
        <v>442</v>
      </c>
    </row>
    <row r="68" spans="1:14" x14ac:dyDescent="0.25">
      <c r="A68" s="67">
        <f t="shared" ref="A68:A69" si="10">A67+1</f>
        <v>56</v>
      </c>
      <c r="B68" s="26"/>
      <c r="D68" s="118" t="s">
        <v>429</v>
      </c>
      <c r="E68" s="119" t="s">
        <v>429</v>
      </c>
      <c r="F68" s="119" t="s">
        <v>429</v>
      </c>
      <c r="G68" s="119" t="s">
        <v>429</v>
      </c>
      <c r="H68" s="138" t="s">
        <v>542</v>
      </c>
      <c r="I68" s="1"/>
      <c r="J68" s="15" t="s">
        <v>523</v>
      </c>
      <c r="K68" s="26" t="s">
        <v>435</v>
      </c>
      <c r="L68" t="s">
        <v>6</v>
      </c>
      <c r="M68" t="s">
        <v>7</v>
      </c>
      <c r="N68" s="22" t="s">
        <v>445</v>
      </c>
    </row>
    <row r="69" spans="1:14" x14ac:dyDescent="0.25">
      <c r="A69" s="67">
        <f t="shared" si="10"/>
        <v>57</v>
      </c>
      <c r="B69" s="68" t="s">
        <v>539</v>
      </c>
      <c r="C69" s="68"/>
      <c r="D69" s="111" t="s">
        <v>510</v>
      </c>
      <c r="E69" s="106" t="s">
        <v>487</v>
      </c>
      <c r="F69" s="106" t="s">
        <v>511</v>
      </c>
      <c r="G69" t="s">
        <v>541</v>
      </c>
      <c r="H69" s="133" t="s">
        <v>540</v>
      </c>
      <c r="I69" s="1"/>
      <c r="J69" s="14" t="s">
        <v>347</v>
      </c>
      <c r="K69" s="14" t="s">
        <v>382</v>
      </c>
      <c r="L69" t="s">
        <v>6</v>
      </c>
      <c r="M69" t="s">
        <v>7</v>
      </c>
      <c r="N69" s="22">
        <v>7</v>
      </c>
    </row>
    <row r="70" spans="1:14" x14ac:dyDescent="0.25">
      <c r="A70" s="72">
        <f>A69+1</f>
        <v>58</v>
      </c>
      <c r="D70" s="111" t="s">
        <v>510</v>
      </c>
      <c r="E70" s="106" t="s">
        <v>487</v>
      </c>
      <c r="F70" s="106" t="s">
        <v>511</v>
      </c>
      <c r="G70" s="26" t="s">
        <v>541</v>
      </c>
      <c r="H70" s="133" t="s">
        <v>540</v>
      </c>
      <c r="I70" s="1"/>
      <c r="J70" s="14" t="s">
        <v>395</v>
      </c>
      <c r="K70" s="14" t="s">
        <v>382</v>
      </c>
      <c r="L70" t="s">
        <v>6</v>
      </c>
      <c r="M70" t="s">
        <v>7</v>
      </c>
      <c r="N70" s="22"/>
    </row>
    <row r="71" spans="1:14" x14ac:dyDescent="0.25">
      <c r="A71" s="93"/>
      <c r="B71" s="35"/>
      <c r="C71" s="35"/>
      <c r="D71" s="8"/>
      <c r="E71" s="35"/>
      <c r="F71" s="35"/>
      <c r="G71" s="35"/>
      <c r="H71" s="132"/>
      <c r="I71" s="8" t="s">
        <v>477</v>
      </c>
      <c r="J71" s="35"/>
      <c r="K71" s="35"/>
      <c r="L71" s="35"/>
      <c r="M71" s="35"/>
      <c r="N71" s="95"/>
    </row>
    <row r="72" spans="1:14" x14ac:dyDescent="0.25">
      <c r="A72" s="72">
        <f>A70+1</f>
        <v>59</v>
      </c>
      <c r="B72" s="68" t="s">
        <v>539</v>
      </c>
      <c r="C72" s="69"/>
      <c r="D72" s="118" t="s">
        <v>429</v>
      </c>
      <c r="E72" s="119" t="s">
        <v>429</v>
      </c>
      <c r="F72" s="119" t="s">
        <v>429</v>
      </c>
      <c r="G72" s="119" t="s">
        <v>429</v>
      </c>
      <c r="H72" s="138" t="s">
        <v>542</v>
      </c>
      <c r="I72" s="1"/>
      <c r="J72" s="14" t="s">
        <v>189</v>
      </c>
      <c r="K72" t="s">
        <v>435</v>
      </c>
      <c r="L72" t="s">
        <v>6</v>
      </c>
      <c r="M72" t="s">
        <v>7</v>
      </c>
      <c r="N72" s="22" t="s">
        <v>369</v>
      </c>
    </row>
    <row r="73" spans="1:14" x14ac:dyDescent="0.25">
      <c r="A73" s="72">
        <f>A72+1</f>
        <v>60</v>
      </c>
      <c r="D73" s="112" t="s">
        <v>486</v>
      </c>
      <c r="E73" s="113" t="s">
        <v>487</v>
      </c>
      <c r="F73" s="113" t="s">
        <v>488</v>
      </c>
      <c r="G73" s="26" t="s">
        <v>525</v>
      </c>
      <c r="H73" s="133" t="s">
        <v>540</v>
      </c>
      <c r="I73" s="1"/>
      <c r="J73" s="14" t="s">
        <v>370</v>
      </c>
      <c r="K73" t="s">
        <v>420</v>
      </c>
      <c r="L73" t="s">
        <v>6</v>
      </c>
      <c r="M73" t="s">
        <v>7</v>
      </c>
      <c r="N73" s="22"/>
    </row>
    <row r="74" spans="1:14" x14ac:dyDescent="0.25">
      <c r="A74" s="72">
        <f t="shared" ref="A74:A76" si="11">A73+1</f>
        <v>61</v>
      </c>
      <c r="D74" s="112" t="s">
        <v>486</v>
      </c>
      <c r="E74" s="113" t="s">
        <v>487</v>
      </c>
      <c r="F74" s="113" t="s">
        <v>488</v>
      </c>
      <c r="G74" s="26" t="s">
        <v>529</v>
      </c>
      <c r="H74" s="133" t="s">
        <v>540</v>
      </c>
      <c r="I74" s="1"/>
      <c r="J74" s="14" t="s">
        <v>104</v>
      </c>
      <c r="K74" s="14" t="s">
        <v>381</v>
      </c>
      <c r="L74" t="s">
        <v>6</v>
      </c>
      <c r="M74" t="s">
        <v>7</v>
      </c>
      <c r="N74" s="22"/>
    </row>
    <row r="75" spans="1:14" x14ac:dyDescent="0.25">
      <c r="A75" s="72">
        <f t="shared" si="11"/>
        <v>62</v>
      </c>
      <c r="D75" s="105" t="s">
        <v>486</v>
      </c>
      <c r="E75" s="117" t="s">
        <v>487</v>
      </c>
      <c r="F75" s="123" t="s">
        <v>488</v>
      </c>
      <c r="G75" s="129" t="s">
        <v>517</v>
      </c>
      <c r="H75" s="133" t="s">
        <v>540</v>
      </c>
      <c r="I75" s="1"/>
      <c r="J75" s="14" t="s">
        <v>252</v>
      </c>
      <c r="K75" s="14" t="s">
        <v>383</v>
      </c>
      <c r="L75" t="s">
        <v>105</v>
      </c>
      <c r="M75" t="s">
        <v>7</v>
      </c>
      <c r="N75" s="22"/>
    </row>
    <row r="76" spans="1:14" x14ac:dyDescent="0.25">
      <c r="A76" s="72">
        <f t="shared" si="11"/>
        <v>63</v>
      </c>
      <c r="D76" s="105" t="s">
        <v>486</v>
      </c>
      <c r="E76" s="117" t="s">
        <v>487</v>
      </c>
      <c r="F76" s="123" t="s">
        <v>488</v>
      </c>
      <c r="G76" s="129" t="s">
        <v>517</v>
      </c>
      <c r="H76" s="131" t="s">
        <v>538</v>
      </c>
      <c r="I76" s="1"/>
      <c r="J76" s="14" t="s">
        <v>253</v>
      </c>
      <c r="K76" s="14" t="s">
        <v>381</v>
      </c>
      <c r="L76" t="s">
        <v>371</v>
      </c>
      <c r="M76" t="s">
        <v>7</v>
      </c>
      <c r="N76" s="22"/>
    </row>
    <row r="77" spans="1:14" x14ac:dyDescent="0.25">
      <c r="A77" s="93"/>
      <c r="B77" s="35"/>
      <c r="C77" s="35"/>
      <c r="D77" s="8"/>
      <c r="E77" s="35"/>
      <c r="F77" s="35"/>
      <c r="G77" s="35"/>
      <c r="H77" s="132"/>
      <c r="I77" s="91" t="s">
        <v>475</v>
      </c>
      <c r="J77" s="35"/>
      <c r="K77" s="35"/>
      <c r="L77" s="35"/>
      <c r="M77" s="35"/>
      <c r="N77" s="95"/>
    </row>
    <row r="78" spans="1:14" x14ac:dyDescent="0.25">
      <c r="A78" s="72">
        <f>A76+1</f>
        <v>64</v>
      </c>
      <c r="D78" s="118" t="s">
        <v>429</v>
      </c>
      <c r="E78" s="119" t="s">
        <v>429</v>
      </c>
      <c r="F78" s="119" t="s">
        <v>429</v>
      </c>
      <c r="G78" s="119" t="s">
        <v>429</v>
      </c>
      <c r="H78" s="138" t="s">
        <v>542</v>
      </c>
      <c r="I78" s="1"/>
      <c r="J78" s="14" t="s">
        <v>436</v>
      </c>
      <c r="K78" s="14" t="s">
        <v>383</v>
      </c>
      <c r="L78" t="s">
        <v>147</v>
      </c>
      <c r="M78" t="s">
        <v>7</v>
      </c>
      <c r="N78" s="53"/>
    </row>
    <row r="79" spans="1:14" x14ac:dyDescent="0.25">
      <c r="A79" s="72">
        <f t="shared" ref="A79:A80" si="12">A78+1</f>
        <v>65</v>
      </c>
      <c r="D79" s="105" t="s">
        <v>489</v>
      </c>
      <c r="E79" s="106" t="s">
        <v>495</v>
      </c>
      <c r="F79" s="117" t="s">
        <v>490</v>
      </c>
      <c r="G79" t="s">
        <v>530</v>
      </c>
      <c r="H79" s="131" t="s">
        <v>538</v>
      </c>
      <c r="I79" s="1"/>
      <c r="J79" s="15" t="s">
        <v>393</v>
      </c>
      <c r="K79" t="s">
        <v>420</v>
      </c>
      <c r="L79" t="s">
        <v>6</v>
      </c>
      <c r="M79" t="s">
        <v>7</v>
      </c>
      <c r="N79" s="53"/>
    </row>
    <row r="80" spans="1:14" x14ac:dyDescent="0.25">
      <c r="A80" s="72">
        <f t="shared" si="12"/>
        <v>66</v>
      </c>
      <c r="D80" s="105" t="s">
        <v>489</v>
      </c>
      <c r="E80" s="106" t="s">
        <v>487</v>
      </c>
      <c r="F80" s="106" t="s">
        <v>490</v>
      </c>
      <c r="G80" t="s">
        <v>401</v>
      </c>
      <c r="H80" s="133" t="s">
        <v>540</v>
      </c>
      <c r="I80" s="1"/>
      <c r="J80" s="14" t="s">
        <v>418</v>
      </c>
      <c r="K80" s="15" t="s">
        <v>419</v>
      </c>
      <c r="L80" t="s">
        <v>6</v>
      </c>
      <c r="M80" t="s">
        <v>7</v>
      </c>
      <c r="N80" s="43"/>
    </row>
    <row r="81" spans="1:14" x14ac:dyDescent="0.25">
      <c r="A81" s="93"/>
      <c r="B81" s="35"/>
      <c r="C81" s="35"/>
      <c r="D81" s="8"/>
      <c r="E81" s="35"/>
      <c r="F81" s="35"/>
      <c r="G81" s="35"/>
      <c r="H81" s="132"/>
      <c r="I81" s="91" t="s">
        <v>476</v>
      </c>
      <c r="J81" s="35"/>
      <c r="K81" s="34"/>
      <c r="L81" s="35"/>
      <c r="M81" s="35"/>
      <c r="N81" s="95"/>
    </row>
    <row r="82" spans="1:14" ht="15" customHeight="1" x14ac:dyDescent="0.25">
      <c r="A82" s="72">
        <f>A80+1</f>
        <v>67</v>
      </c>
      <c r="B82" s="68" t="s">
        <v>539</v>
      </c>
      <c r="C82" s="92" t="s">
        <v>527</v>
      </c>
      <c r="D82" s="118" t="s">
        <v>429</v>
      </c>
      <c r="E82" s="119" t="s">
        <v>429</v>
      </c>
      <c r="F82" s="119" t="s">
        <v>429</v>
      </c>
      <c r="G82" s="119" t="s">
        <v>429</v>
      </c>
      <c r="H82" s="138" t="s">
        <v>542</v>
      </c>
      <c r="I82" s="1"/>
      <c r="J82" s="14" t="s">
        <v>406</v>
      </c>
      <c r="K82" s="14" t="s">
        <v>382</v>
      </c>
      <c r="L82" t="s">
        <v>373</v>
      </c>
      <c r="M82" t="s">
        <v>7</v>
      </c>
      <c r="N82" s="43">
        <v>3</v>
      </c>
    </row>
    <row r="83" spans="1:14" ht="15" customHeight="1" x14ac:dyDescent="0.25">
      <c r="A83" s="72">
        <f>A82+1</f>
        <v>68</v>
      </c>
      <c r="D83" s="112" t="s">
        <v>489</v>
      </c>
      <c r="E83" s="113" t="s">
        <v>487</v>
      </c>
      <c r="F83" s="113" t="s">
        <v>490</v>
      </c>
      <c r="G83" t="s">
        <v>494</v>
      </c>
      <c r="H83" s="131" t="s">
        <v>538</v>
      </c>
      <c r="I83" s="1"/>
      <c r="J83" s="15" t="s">
        <v>558</v>
      </c>
      <c r="K83" t="s">
        <v>420</v>
      </c>
      <c r="L83" t="s">
        <v>6</v>
      </c>
      <c r="M83" t="s">
        <v>7</v>
      </c>
      <c r="N83" s="45" t="s">
        <v>346</v>
      </c>
    </row>
    <row r="84" spans="1:14" ht="15" customHeight="1" x14ac:dyDescent="0.25">
      <c r="A84" s="72">
        <f t="shared" ref="A84:A88" si="13">A83+1</f>
        <v>69</v>
      </c>
      <c r="D84" s="112" t="s">
        <v>489</v>
      </c>
      <c r="E84" s="113" t="s">
        <v>487</v>
      </c>
      <c r="F84" s="113" t="s">
        <v>490</v>
      </c>
      <c r="G84" t="s">
        <v>494</v>
      </c>
      <c r="H84" s="131" t="s">
        <v>538</v>
      </c>
      <c r="I84" s="1"/>
      <c r="J84" s="15" t="s">
        <v>551</v>
      </c>
      <c r="K84" s="15" t="s">
        <v>552</v>
      </c>
      <c r="L84" t="s">
        <v>6</v>
      </c>
      <c r="M84" t="s">
        <v>7</v>
      </c>
      <c r="N84" s="45" t="s">
        <v>532</v>
      </c>
    </row>
    <row r="85" spans="1:14" ht="15" customHeight="1" x14ac:dyDescent="0.25">
      <c r="A85" s="72">
        <f t="shared" si="13"/>
        <v>70</v>
      </c>
      <c r="D85" s="105" t="s">
        <v>489</v>
      </c>
      <c r="E85" s="106" t="s">
        <v>487</v>
      </c>
      <c r="F85" s="106" t="s">
        <v>490</v>
      </c>
      <c r="G85" t="s">
        <v>554</v>
      </c>
      <c r="H85" s="131" t="s">
        <v>538</v>
      </c>
      <c r="I85" s="1"/>
      <c r="J85" s="15" t="s">
        <v>555</v>
      </c>
      <c r="K85" t="s">
        <v>420</v>
      </c>
      <c r="L85" t="s">
        <v>6</v>
      </c>
      <c r="M85" t="s">
        <v>7</v>
      </c>
      <c r="N85" s="45" t="s">
        <v>169</v>
      </c>
    </row>
    <row r="86" spans="1:14" ht="15" customHeight="1" x14ac:dyDescent="0.25">
      <c r="A86" s="72">
        <f t="shared" si="13"/>
        <v>71</v>
      </c>
      <c r="D86" s="105" t="s">
        <v>489</v>
      </c>
      <c r="E86" s="106" t="s">
        <v>487</v>
      </c>
      <c r="F86" s="106" t="s">
        <v>490</v>
      </c>
      <c r="G86" t="s">
        <v>554</v>
      </c>
      <c r="H86" s="131" t="s">
        <v>538</v>
      </c>
      <c r="I86" s="1"/>
      <c r="J86" s="15" t="s">
        <v>559</v>
      </c>
      <c r="K86" s="15" t="s">
        <v>560</v>
      </c>
      <c r="L86" t="s">
        <v>6</v>
      </c>
      <c r="M86" t="s">
        <v>7</v>
      </c>
      <c r="N86" s="45"/>
    </row>
    <row r="87" spans="1:14" ht="15" customHeight="1" x14ac:dyDescent="0.25">
      <c r="A87" s="72">
        <f t="shared" si="13"/>
        <v>72</v>
      </c>
      <c r="D87" s="111" t="s">
        <v>515</v>
      </c>
      <c r="E87" s="106" t="s">
        <v>493</v>
      </c>
      <c r="F87" s="106" t="s">
        <v>488</v>
      </c>
      <c r="G87" t="s">
        <v>531</v>
      </c>
      <c r="H87" s="131" t="s">
        <v>538</v>
      </c>
      <c r="I87" s="1"/>
      <c r="J87" s="15" t="s">
        <v>556</v>
      </c>
      <c r="K87" t="s">
        <v>420</v>
      </c>
      <c r="L87" t="s">
        <v>6</v>
      </c>
      <c r="M87" t="s">
        <v>7</v>
      </c>
      <c r="N87" s="45" t="s">
        <v>346</v>
      </c>
    </row>
    <row r="88" spans="1:14" ht="15" customHeight="1" x14ac:dyDescent="0.25">
      <c r="A88" s="72">
        <f t="shared" si="13"/>
        <v>73</v>
      </c>
      <c r="D88" s="111" t="s">
        <v>515</v>
      </c>
      <c r="E88" s="106" t="s">
        <v>493</v>
      </c>
      <c r="F88" s="106" t="s">
        <v>488</v>
      </c>
      <c r="G88" t="s">
        <v>531</v>
      </c>
      <c r="H88" s="131" t="s">
        <v>538</v>
      </c>
      <c r="I88" s="1"/>
      <c r="J88" s="15" t="s">
        <v>557</v>
      </c>
      <c r="K88" s="15" t="s">
        <v>561</v>
      </c>
      <c r="L88" t="s">
        <v>6</v>
      </c>
      <c r="M88" t="s">
        <v>7</v>
      </c>
      <c r="N88" s="45" t="s">
        <v>532</v>
      </c>
    </row>
    <row r="89" spans="1:14" x14ac:dyDescent="0.25">
      <c r="A89" s="125"/>
      <c r="B89" s="54" t="s">
        <v>405</v>
      </c>
      <c r="C89" s="54"/>
      <c r="D89" s="126"/>
      <c r="E89" s="54"/>
      <c r="F89" s="54"/>
      <c r="G89" s="54"/>
      <c r="H89" s="133"/>
      <c r="I89" s="126"/>
      <c r="J89" s="127"/>
      <c r="K89" s="127"/>
      <c r="L89" s="54"/>
      <c r="M89" s="54"/>
      <c r="N89" s="128"/>
    </row>
    <row r="90" spans="1:14" x14ac:dyDescent="0.25">
      <c r="A90" s="75"/>
      <c r="B90" s="76"/>
      <c r="C90" s="76"/>
      <c r="D90" s="77"/>
      <c r="E90" s="76"/>
      <c r="F90" s="76"/>
      <c r="G90" s="76"/>
      <c r="H90" s="134"/>
      <c r="I90" s="124" t="s">
        <v>534</v>
      </c>
      <c r="J90" s="76"/>
      <c r="K90" s="76"/>
      <c r="L90" s="76"/>
      <c r="M90" s="76"/>
      <c r="N90" s="78"/>
    </row>
    <row r="91" spans="1:14" x14ac:dyDescent="0.25">
      <c r="A91" s="79"/>
      <c r="B91" s="80"/>
      <c r="C91" s="80"/>
      <c r="D91" s="114" t="s">
        <v>489</v>
      </c>
      <c r="E91" s="115" t="s">
        <v>487</v>
      </c>
      <c r="F91" s="116" t="s">
        <v>490</v>
      </c>
      <c r="G91" s="80" t="s">
        <v>402</v>
      </c>
      <c r="H91" s="135"/>
      <c r="I91" s="81"/>
      <c r="J91" s="82" t="s">
        <v>350</v>
      </c>
      <c r="K91" s="82" t="s">
        <v>383</v>
      </c>
      <c r="L91" s="80" t="s">
        <v>86</v>
      </c>
      <c r="M91" s="80" t="s">
        <v>7</v>
      </c>
      <c r="N91" s="43"/>
    </row>
    <row r="92" spans="1:14" x14ac:dyDescent="0.25">
      <c r="A92" s="79"/>
      <c r="B92" s="83"/>
      <c r="C92" s="83"/>
      <c r="D92" s="114" t="s">
        <v>486</v>
      </c>
      <c r="E92" s="115" t="s">
        <v>493</v>
      </c>
      <c r="F92" s="116" t="s">
        <v>488</v>
      </c>
      <c r="G92" s="80" t="s">
        <v>496</v>
      </c>
      <c r="H92" s="135"/>
      <c r="I92" s="81"/>
      <c r="J92" s="82" t="s">
        <v>349</v>
      </c>
      <c r="K92" s="82" t="s">
        <v>383</v>
      </c>
      <c r="L92" s="80" t="s">
        <v>86</v>
      </c>
      <c r="M92" s="80" t="s">
        <v>7</v>
      </c>
      <c r="N92" s="43"/>
    </row>
    <row r="93" spans="1:14" x14ac:dyDescent="0.25">
      <c r="A93" s="79"/>
      <c r="B93" s="80"/>
      <c r="C93" s="80"/>
      <c r="D93" s="81"/>
      <c r="E93" s="80"/>
      <c r="F93" s="80"/>
      <c r="G93" s="80"/>
      <c r="H93" s="135"/>
      <c r="I93" s="81"/>
      <c r="J93" s="82" t="s">
        <v>114</v>
      </c>
      <c r="K93" s="82" t="s">
        <v>76</v>
      </c>
      <c r="L93" s="80" t="s">
        <v>76</v>
      </c>
      <c r="M93" s="80" t="s">
        <v>7</v>
      </c>
      <c r="N93" s="43"/>
    </row>
    <row r="94" spans="1:14" x14ac:dyDescent="0.25">
      <c r="A94" s="79"/>
      <c r="B94" s="80"/>
      <c r="C94" s="80"/>
      <c r="D94" s="81"/>
      <c r="E94" s="80"/>
      <c r="F94" s="80"/>
      <c r="G94" s="80"/>
      <c r="H94" s="135"/>
      <c r="I94" s="81"/>
      <c r="J94" s="80" t="s">
        <v>115</v>
      </c>
      <c r="K94" s="80" t="s">
        <v>76</v>
      </c>
      <c r="L94" s="80" t="s">
        <v>76</v>
      </c>
      <c r="M94" s="80" t="s">
        <v>7</v>
      </c>
      <c r="N94" s="43"/>
    </row>
    <row r="95" spans="1:14" x14ac:dyDescent="0.25">
      <c r="A95" s="75"/>
      <c r="B95" s="76"/>
      <c r="C95" s="76"/>
      <c r="D95" s="77"/>
      <c r="E95" s="76"/>
      <c r="F95" s="76"/>
      <c r="G95" s="130"/>
      <c r="H95" s="136"/>
      <c r="I95" s="124" t="s">
        <v>478</v>
      </c>
      <c r="J95" s="76"/>
      <c r="K95" s="76"/>
      <c r="L95" s="76"/>
      <c r="M95" s="76"/>
      <c r="N95" s="78"/>
    </row>
    <row r="96" spans="1:14" x14ac:dyDescent="0.25">
      <c r="A96" s="79"/>
      <c r="B96" s="80"/>
      <c r="C96" s="80"/>
      <c r="D96" s="81"/>
      <c r="E96" s="80"/>
      <c r="F96" s="80"/>
      <c r="G96" s="80"/>
      <c r="H96" s="135"/>
      <c r="I96" s="81"/>
      <c r="J96" s="82" t="s">
        <v>241</v>
      </c>
      <c r="K96" s="80" t="s">
        <v>381</v>
      </c>
      <c r="L96" s="80" t="s">
        <v>6</v>
      </c>
      <c r="M96" s="80" t="s">
        <v>7</v>
      </c>
      <c r="N96" s="50" t="s">
        <v>339</v>
      </c>
    </row>
    <row r="97" spans="1:14" x14ac:dyDescent="0.25">
      <c r="A97" s="79"/>
      <c r="B97" s="84"/>
      <c r="C97" s="84"/>
      <c r="D97" s="109"/>
      <c r="E97" s="84"/>
      <c r="F97" s="84"/>
      <c r="G97" s="80"/>
      <c r="H97" s="135"/>
      <c r="I97" s="81"/>
      <c r="J97" s="82" t="s">
        <v>238</v>
      </c>
      <c r="K97" s="80" t="s">
        <v>381</v>
      </c>
      <c r="L97" s="80" t="s">
        <v>6</v>
      </c>
      <c r="M97" s="80" t="s">
        <v>7</v>
      </c>
      <c r="N97" s="50">
        <v>34933662100</v>
      </c>
    </row>
    <row r="98" spans="1:14" x14ac:dyDescent="0.25">
      <c r="A98" s="79"/>
      <c r="B98" s="85"/>
      <c r="C98" s="85"/>
      <c r="D98" s="110"/>
      <c r="E98" s="85"/>
      <c r="F98" s="85"/>
      <c r="G98" s="80"/>
      <c r="H98" s="135"/>
      <c r="I98" s="81"/>
      <c r="J98" s="82" t="s">
        <v>239</v>
      </c>
      <c r="K98" s="80" t="s">
        <v>381</v>
      </c>
      <c r="L98" s="80" t="s">
        <v>6</v>
      </c>
      <c r="M98" s="80" t="s">
        <v>7</v>
      </c>
      <c r="N98" s="50"/>
    </row>
    <row r="99" spans="1:14" x14ac:dyDescent="0.25">
      <c r="A99" s="79"/>
      <c r="B99" s="85"/>
      <c r="C99" s="85"/>
      <c r="D99" s="110"/>
      <c r="E99" s="85"/>
      <c r="F99" s="85"/>
      <c r="G99" s="80"/>
      <c r="H99" s="135"/>
      <c r="I99" s="81"/>
      <c r="J99" s="82" t="s">
        <v>240</v>
      </c>
      <c r="K99" s="80" t="s">
        <v>381</v>
      </c>
      <c r="L99" s="80" t="s">
        <v>6</v>
      </c>
      <c r="M99" s="80" t="s">
        <v>7</v>
      </c>
      <c r="N99" s="24" t="s">
        <v>368</v>
      </c>
    </row>
    <row r="100" spans="1:14" x14ac:dyDescent="0.25">
      <c r="A100" s="79"/>
      <c r="B100" s="80"/>
      <c r="C100" s="80"/>
      <c r="D100" s="81"/>
      <c r="E100" s="80"/>
      <c r="F100" s="80"/>
      <c r="G100" s="80"/>
      <c r="H100" s="135"/>
      <c r="I100" s="81"/>
      <c r="J100" s="82" t="s">
        <v>74</v>
      </c>
      <c r="K100" s="80" t="s">
        <v>381</v>
      </c>
      <c r="L100" s="80" t="s">
        <v>6</v>
      </c>
      <c r="M100" s="80" t="s">
        <v>7</v>
      </c>
      <c r="N100" s="22"/>
    </row>
    <row r="101" spans="1:14" x14ac:dyDescent="0.25">
      <c r="A101" s="79"/>
      <c r="B101" s="80"/>
      <c r="C101" s="80"/>
      <c r="D101" s="81"/>
      <c r="E101" s="80"/>
      <c r="F101" s="80"/>
      <c r="G101" s="80"/>
      <c r="H101" s="135"/>
      <c r="I101" s="81"/>
      <c r="J101" s="82" t="s">
        <v>242</v>
      </c>
      <c r="K101" s="80" t="s">
        <v>381</v>
      </c>
      <c r="L101" s="80" t="s">
        <v>6</v>
      </c>
      <c r="M101" s="80" t="s">
        <v>7</v>
      </c>
      <c r="N101" s="22"/>
    </row>
    <row r="102" spans="1:14" x14ac:dyDescent="0.25">
      <c r="A102" s="79"/>
      <c r="B102" s="80"/>
      <c r="C102" s="80"/>
      <c r="D102" s="81"/>
      <c r="E102" s="80"/>
      <c r="F102" s="80"/>
      <c r="G102" s="80"/>
      <c r="H102" s="135"/>
      <c r="I102" s="81"/>
      <c r="J102" s="82" t="s">
        <v>243</v>
      </c>
      <c r="K102" s="80" t="s">
        <v>381</v>
      </c>
      <c r="L102" s="80" t="s">
        <v>6</v>
      </c>
      <c r="M102" s="80" t="s">
        <v>7</v>
      </c>
      <c r="N102" s="51"/>
    </row>
    <row r="103" spans="1:14" ht="15.75" thickBot="1" x14ac:dyDescent="0.3">
      <c r="A103" s="86"/>
      <c r="B103" s="87"/>
      <c r="C103" s="87"/>
      <c r="D103" s="88"/>
      <c r="E103" s="87"/>
      <c r="F103" s="87"/>
      <c r="G103" s="87"/>
      <c r="H103" s="137"/>
      <c r="I103" s="88"/>
      <c r="J103" s="89" t="s">
        <v>244</v>
      </c>
      <c r="K103" s="87" t="s">
        <v>381</v>
      </c>
      <c r="L103" s="87" t="s">
        <v>6</v>
      </c>
      <c r="M103" s="87" t="s">
        <v>7</v>
      </c>
      <c r="N103" s="101"/>
    </row>
    <row r="106" spans="1:14" x14ac:dyDescent="0.25">
      <c r="D106" s="74"/>
      <c r="E106" s="74"/>
      <c r="F106" s="74"/>
    </row>
    <row r="107" spans="1:14" x14ac:dyDescent="0.25">
      <c r="C107" s="74"/>
    </row>
    <row r="210" spans="10:11" x14ac:dyDescent="0.25">
      <c r="J210" s="7" t="s">
        <v>19</v>
      </c>
      <c r="K210" s="7"/>
    </row>
    <row r="211" spans="10:11" x14ac:dyDescent="0.25">
      <c r="J211" t="s">
        <v>5</v>
      </c>
    </row>
    <row r="212" spans="10:11" x14ac:dyDescent="0.25">
      <c r="J212" t="s">
        <v>116</v>
      </c>
    </row>
    <row r="213" spans="10:11" x14ac:dyDescent="0.25">
      <c r="J213" t="s">
        <v>117</v>
      </c>
    </row>
    <row r="214" spans="10:11" x14ac:dyDescent="0.25">
      <c r="J214" t="s">
        <v>118</v>
      </c>
    </row>
    <row r="215" spans="10:11" x14ac:dyDescent="0.25">
      <c r="J215" t="s">
        <v>119</v>
      </c>
    </row>
    <row r="216" spans="10:11" x14ac:dyDescent="0.25">
      <c r="J216" t="s">
        <v>120</v>
      </c>
    </row>
    <row r="217" spans="10:11" x14ac:dyDescent="0.25">
      <c r="J217" t="s">
        <v>121</v>
      </c>
    </row>
    <row r="218" spans="10:11" x14ac:dyDescent="0.25">
      <c r="J218" t="s">
        <v>122</v>
      </c>
    </row>
    <row r="219" spans="10:11" x14ac:dyDescent="0.25">
      <c r="J219" t="s">
        <v>123</v>
      </c>
    </row>
    <row r="220" spans="10:11" x14ac:dyDescent="0.25">
      <c r="J220" t="s">
        <v>124</v>
      </c>
    </row>
    <row r="221" spans="10:11" x14ac:dyDescent="0.25">
      <c r="J221" t="s">
        <v>125</v>
      </c>
    </row>
    <row r="224" spans="10:11" x14ac:dyDescent="0.25">
      <c r="J224" s="6" t="s">
        <v>38</v>
      </c>
      <c r="K224" s="6"/>
    </row>
    <row r="225" spans="10:11" x14ac:dyDescent="0.25">
      <c r="J225" t="s">
        <v>126</v>
      </c>
    </row>
    <row r="226" spans="10:11" x14ac:dyDescent="0.25">
      <c r="J226" t="s">
        <v>127</v>
      </c>
    </row>
    <row r="227" spans="10:11" x14ac:dyDescent="0.25">
      <c r="J227" t="s">
        <v>128</v>
      </c>
    </row>
    <row r="230" spans="10:11" x14ac:dyDescent="0.25">
      <c r="J230" s="6" t="s">
        <v>129</v>
      </c>
      <c r="K230" s="6"/>
    </row>
    <row r="231" spans="10:11" x14ac:dyDescent="0.25">
      <c r="J231" t="s">
        <v>130</v>
      </c>
    </row>
    <row r="232" spans="10:11" x14ac:dyDescent="0.25">
      <c r="J232" t="s">
        <v>131</v>
      </c>
    </row>
    <row r="233" spans="10:11" x14ac:dyDescent="0.25">
      <c r="J233" t="s">
        <v>132</v>
      </c>
    </row>
    <row r="236" spans="10:11" x14ac:dyDescent="0.25">
      <c r="J236" s="6" t="s">
        <v>81</v>
      </c>
      <c r="K236" s="6"/>
    </row>
    <row r="237" spans="10:11" x14ac:dyDescent="0.25">
      <c r="J237" t="s">
        <v>133</v>
      </c>
    </row>
    <row r="238" spans="10:11" x14ac:dyDescent="0.25">
      <c r="J238" t="s">
        <v>134</v>
      </c>
    </row>
    <row r="239" spans="10:11" x14ac:dyDescent="0.25">
      <c r="J239" t="s">
        <v>135</v>
      </c>
    </row>
    <row r="240" spans="10:11" x14ac:dyDescent="0.25">
      <c r="J240" t="s">
        <v>136</v>
      </c>
    </row>
    <row r="242" spans="10:11" x14ac:dyDescent="0.25">
      <c r="J242" s="6" t="s">
        <v>82</v>
      </c>
      <c r="K242" s="6"/>
    </row>
    <row r="243" spans="10:11" x14ac:dyDescent="0.25">
      <c r="J243" t="s">
        <v>137</v>
      </c>
    </row>
    <row r="244" spans="10:11" x14ac:dyDescent="0.25">
      <c r="J244" t="s">
        <v>138</v>
      </c>
    </row>
    <row r="245" spans="10:11" x14ac:dyDescent="0.25">
      <c r="J245" t="s">
        <v>139</v>
      </c>
    </row>
    <row r="246" spans="10:11" x14ac:dyDescent="0.25">
      <c r="J246" t="s">
        <v>140</v>
      </c>
    </row>
    <row r="248" spans="10:11" x14ac:dyDescent="0.25">
      <c r="J248" s="6" t="s">
        <v>83</v>
      </c>
      <c r="K248" s="6"/>
    </row>
    <row r="249" spans="10:11" x14ac:dyDescent="0.25">
      <c r="J249" t="s">
        <v>141</v>
      </c>
    </row>
    <row r="250" spans="10:11" x14ac:dyDescent="0.25">
      <c r="J250" t="s">
        <v>142</v>
      </c>
    </row>
    <row r="251" spans="10:11" x14ac:dyDescent="0.25">
      <c r="J251" t="s">
        <v>143</v>
      </c>
    </row>
    <row r="252" spans="10:11" x14ac:dyDescent="0.25">
      <c r="J252" t="s">
        <v>144</v>
      </c>
    </row>
    <row r="255" spans="10:11" x14ac:dyDescent="0.25">
      <c r="J255" s="6" t="s">
        <v>84</v>
      </c>
      <c r="K255" s="6"/>
    </row>
    <row r="256" spans="10:11" x14ac:dyDescent="0.25">
      <c r="J256" t="s">
        <v>145</v>
      </c>
    </row>
    <row r="257" spans="10:11" x14ac:dyDescent="0.25">
      <c r="J257" t="s">
        <v>146</v>
      </c>
    </row>
    <row r="259" spans="10:11" x14ac:dyDescent="0.25">
      <c r="J259" s="6" t="s">
        <v>87</v>
      </c>
      <c r="K259" s="6"/>
    </row>
    <row r="260" spans="10:11" x14ac:dyDescent="0.25">
      <c r="J260" t="s">
        <v>93</v>
      </c>
    </row>
    <row r="261" spans="10:11" x14ac:dyDescent="0.25">
      <c r="J261" t="s">
        <v>95</v>
      </c>
    </row>
    <row r="262" spans="10:11" x14ac:dyDescent="0.25">
      <c r="J262" t="s">
        <v>97</v>
      </c>
    </row>
    <row r="265" spans="10:11" x14ac:dyDescent="0.25">
      <c r="J265" s="6" t="s">
        <v>93</v>
      </c>
      <c r="K265" s="6"/>
    </row>
    <row r="266" spans="10:11" x14ac:dyDescent="0.25">
      <c r="J266" t="s">
        <v>94</v>
      </c>
    </row>
    <row r="267" spans="10:11" x14ac:dyDescent="0.25">
      <c r="J267" t="s">
        <v>96</v>
      </c>
    </row>
    <row r="268" spans="10:11" x14ac:dyDescent="0.25">
      <c r="J268" t="s">
        <v>98</v>
      </c>
    </row>
    <row r="269" spans="10:11" x14ac:dyDescent="0.25">
      <c r="J269" s="6" t="s">
        <v>95</v>
      </c>
      <c r="K269" s="6"/>
    </row>
    <row r="270" spans="10:11" x14ac:dyDescent="0.25">
      <c r="J270" t="s">
        <v>94</v>
      </c>
    </row>
    <row r="271" spans="10:11" x14ac:dyDescent="0.25">
      <c r="J271" t="s">
        <v>96</v>
      </c>
    </row>
    <row r="272" spans="10:11" x14ac:dyDescent="0.25">
      <c r="J272" t="s">
        <v>98</v>
      </c>
    </row>
    <row r="273" spans="10:11" x14ac:dyDescent="0.25">
      <c r="J273" s="6" t="s">
        <v>97</v>
      </c>
      <c r="K273" s="6"/>
    </row>
    <row r="274" spans="10:11" x14ac:dyDescent="0.25">
      <c r="J274" t="s">
        <v>94</v>
      </c>
    </row>
    <row r="275" spans="10:11" x14ac:dyDescent="0.25">
      <c r="J275" t="s">
        <v>96</v>
      </c>
    </row>
    <row r="276" spans="10:11" x14ac:dyDescent="0.25">
      <c r="J276" t="s">
        <v>98</v>
      </c>
    </row>
  </sheetData>
  <mergeCells count="3">
    <mergeCell ref="B1:N1"/>
    <mergeCell ref="C2:C3"/>
    <mergeCell ref="D2:H2"/>
  </mergeCells>
  <dataValidations count="1">
    <dataValidation type="list" allowBlank="1" showInputMessage="1" showErrorMessage="1" sqref="D32:E32 D36:E36 D34:E34 D50:E50 D59:E60" xr:uid="{FF3CE9A7-1758-491E-8127-F3F0814FD062}">
      <formula1>#REF!</formula1>
    </dataValidation>
  </dataValidations>
  <hyperlinks>
    <hyperlink ref="N99" r:id="rId1" xr:uid="{5F9E0A2B-3B18-4A14-AABF-77554FD38762}"/>
    <hyperlink ref="N6" r:id="rId2" xr:uid="{0D07F5AC-0303-441E-BC77-DFD7107079D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7529-CCF0-414A-9649-73B5A077975D}">
  <dimension ref="A1:N273"/>
  <sheetViews>
    <sheetView zoomScale="85" zoomScaleNormal="85" workbookViewId="0">
      <pane xSplit="10" ySplit="3" topLeftCell="N4" activePane="bottomRight" state="frozen"/>
      <selection pane="topRight" activeCell="C1" sqref="C1"/>
      <selection pane="bottomLeft" activeCell="A3" sqref="A3"/>
      <selection pane="bottomRight" activeCell="O1" sqref="O1:O1048576"/>
    </sheetView>
  </sheetViews>
  <sheetFormatPr baseColWidth="10" defaultColWidth="9.140625" defaultRowHeight="15" x14ac:dyDescent="0.25"/>
  <cols>
    <col min="1" max="1" width="3.140625" style="67" customWidth="1"/>
    <col min="2" max="2" width="11.5703125" bestFit="1" customWidth="1"/>
    <col min="3" max="6" width="5.42578125" customWidth="1"/>
    <col min="7" max="7" width="34.28515625" customWidth="1"/>
    <col min="8" max="8" width="9.140625" style="67" customWidth="1"/>
    <col min="9" max="9" width="3.42578125" customWidth="1"/>
    <col min="10" max="10" width="79.140625" customWidth="1"/>
    <col min="11" max="11" width="32.5703125" customWidth="1"/>
    <col min="12" max="12" width="14.42578125" customWidth="1"/>
    <col min="13" max="13" width="43.85546875" customWidth="1"/>
    <col min="14" max="14" width="55.85546875" style="13" customWidth="1"/>
  </cols>
  <sheetData>
    <row r="1" spans="1:14" ht="15.75" thickBot="1" x14ac:dyDescent="0.3">
      <c r="A1" s="66"/>
      <c r="B1" s="146" t="s">
        <v>502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</row>
    <row r="2" spans="1:14" ht="15" customHeight="1" x14ac:dyDescent="0.25">
      <c r="A2" s="57"/>
      <c r="B2" s="56"/>
      <c r="C2" s="147" t="s">
        <v>412</v>
      </c>
      <c r="D2" s="148" t="s">
        <v>512</v>
      </c>
      <c r="E2" s="149"/>
      <c r="F2" s="149"/>
      <c r="G2" s="149"/>
      <c r="H2" s="150"/>
      <c r="I2" s="9" t="s">
        <v>497</v>
      </c>
      <c r="J2" s="10"/>
      <c r="K2" s="10"/>
      <c r="L2" s="10"/>
      <c r="M2" s="10"/>
      <c r="N2" s="58" t="s">
        <v>498</v>
      </c>
    </row>
    <row r="3" spans="1:14" x14ac:dyDescent="0.25">
      <c r="A3" s="57" t="s">
        <v>396</v>
      </c>
      <c r="B3" s="57" t="s">
        <v>372</v>
      </c>
      <c r="C3" s="147"/>
      <c r="D3" s="71" t="s">
        <v>336</v>
      </c>
      <c r="E3" s="104" t="s">
        <v>483</v>
      </c>
      <c r="F3" s="104" t="s">
        <v>484</v>
      </c>
      <c r="G3" s="57" t="s">
        <v>513</v>
      </c>
      <c r="H3" s="107" t="s">
        <v>537</v>
      </c>
      <c r="I3" s="8"/>
      <c r="J3" s="11" t="s">
        <v>506</v>
      </c>
      <c r="K3" s="11" t="s">
        <v>508</v>
      </c>
      <c r="L3" s="11" t="s">
        <v>507</v>
      </c>
      <c r="M3" s="11" t="s">
        <v>509</v>
      </c>
      <c r="N3" s="41" t="s">
        <v>499</v>
      </c>
    </row>
    <row r="4" spans="1:14" x14ac:dyDescent="0.25">
      <c r="A4" s="93"/>
      <c r="B4" s="35"/>
      <c r="C4" s="35"/>
      <c r="D4" s="8"/>
      <c r="E4" s="35"/>
      <c r="F4" s="35"/>
      <c r="G4" s="35"/>
      <c r="H4" s="132"/>
      <c r="I4" s="8" t="s">
        <v>470</v>
      </c>
      <c r="J4" s="35"/>
      <c r="K4" s="35"/>
      <c r="L4" s="35"/>
      <c r="M4" s="35"/>
      <c r="N4" s="95"/>
    </row>
    <row r="5" spans="1:14" x14ac:dyDescent="0.25">
      <c r="A5" s="72">
        <v>1</v>
      </c>
      <c r="B5" s="68" t="s">
        <v>539</v>
      </c>
      <c r="C5" s="68"/>
      <c r="D5" s="118" t="s">
        <v>429</v>
      </c>
      <c r="E5" s="119" t="s">
        <v>429</v>
      </c>
      <c r="F5" s="119" t="s">
        <v>429</v>
      </c>
      <c r="G5" s="119" t="s">
        <v>429</v>
      </c>
      <c r="H5" s="138" t="s">
        <v>542</v>
      </c>
      <c r="I5" s="1"/>
      <c r="J5" t="s">
        <v>424</v>
      </c>
      <c r="K5" s="27" t="s">
        <v>425</v>
      </c>
      <c r="L5" t="s">
        <v>6</v>
      </c>
      <c r="M5" t="s">
        <v>7</v>
      </c>
      <c r="N5" s="43" t="s">
        <v>187</v>
      </c>
    </row>
    <row r="6" spans="1:14" ht="15" customHeight="1" x14ac:dyDescent="0.25">
      <c r="A6" s="67">
        <f>A5+1</f>
        <v>2</v>
      </c>
      <c r="B6" s="68" t="s">
        <v>539</v>
      </c>
      <c r="C6" s="17"/>
      <c r="D6" s="118" t="s">
        <v>429</v>
      </c>
      <c r="E6" s="119" t="s">
        <v>429</v>
      </c>
      <c r="F6" s="119" t="s">
        <v>429</v>
      </c>
      <c r="G6" s="119" t="s">
        <v>429</v>
      </c>
      <c r="H6" s="138" t="s">
        <v>542</v>
      </c>
      <c r="I6" s="122"/>
      <c r="J6" s="26" t="s">
        <v>526</v>
      </c>
      <c r="K6" s="64" t="s">
        <v>524</v>
      </c>
      <c r="L6" s="26" t="s">
        <v>6</v>
      </c>
      <c r="M6" s="26" t="s">
        <v>7</v>
      </c>
      <c r="N6" s="48" t="s">
        <v>598</v>
      </c>
    </row>
    <row r="7" spans="1:14" x14ac:dyDescent="0.25">
      <c r="A7" s="96">
        <f>A6+1</f>
        <v>3</v>
      </c>
      <c r="B7" s="97" t="s">
        <v>539</v>
      </c>
      <c r="C7" s="98"/>
      <c r="D7" s="120" t="s">
        <v>429</v>
      </c>
      <c r="E7" s="121" t="s">
        <v>429</v>
      </c>
      <c r="F7" s="121" t="s">
        <v>429</v>
      </c>
      <c r="G7" s="121" t="s">
        <v>429</v>
      </c>
      <c r="H7" s="138" t="s">
        <v>542</v>
      </c>
      <c r="I7" s="81"/>
      <c r="J7" s="80" t="s">
        <v>0</v>
      </c>
      <c r="K7" s="99" t="s">
        <v>421</v>
      </c>
      <c r="L7" s="80" t="s">
        <v>6</v>
      </c>
      <c r="M7" s="80" t="s">
        <v>7</v>
      </c>
      <c r="N7" s="43" t="s">
        <v>357</v>
      </c>
    </row>
    <row r="8" spans="1:14" x14ac:dyDescent="0.25">
      <c r="A8" s="96">
        <f t="shared" ref="A8:A15" si="0">A7+1</f>
        <v>4</v>
      </c>
      <c r="B8" s="97" t="s">
        <v>539</v>
      </c>
      <c r="C8" s="98"/>
      <c r="D8" s="120" t="s">
        <v>429</v>
      </c>
      <c r="E8" s="121" t="s">
        <v>429</v>
      </c>
      <c r="F8" s="121" t="s">
        <v>429</v>
      </c>
      <c r="G8" s="121" t="s">
        <v>429</v>
      </c>
      <c r="H8" s="138" t="s">
        <v>542</v>
      </c>
      <c r="I8" s="81"/>
      <c r="J8" s="80" t="s">
        <v>184</v>
      </c>
      <c r="K8" s="99" t="s">
        <v>421</v>
      </c>
      <c r="L8" s="80" t="s">
        <v>6</v>
      </c>
      <c r="M8" s="80" t="s">
        <v>7</v>
      </c>
      <c r="N8" s="43" t="s">
        <v>358</v>
      </c>
    </row>
    <row r="9" spans="1:14" x14ac:dyDescent="0.25">
      <c r="A9" s="67">
        <f t="shared" si="0"/>
        <v>5</v>
      </c>
      <c r="B9" s="102"/>
      <c r="C9" s="68"/>
      <c r="D9" s="118" t="s">
        <v>429</v>
      </c>
      <c r="E9" s="119" t="s">
        <v>429</v>
      </c>
      <c r="F9" s="119" t="s">
        <v>429</v>
      </c>
      <c r="G9" s="119" t="s">
        <v>429</v>
      </c>
      <c r="H9" s="138" t="s">
        <v>542</v>
      </c>
      <c r="I9" s="1"/>
      <c r="J9" t="s">
        <v>449</v>
      </c>
      <c r="K9" s="27" t="s">
        <v>451</v>
      </c>
      <c r="L9" t="s">
        <v>6</v>
      </c>
      <c r="M9" t="s">
        <v>7</v>
      </c>
      <c r="N9" s="45" t="s">
        <v>453</v>
      </c>
    </row>
    <row r="10" spans="1:14" x14ac:dyDescent="0.25">
      <c r="A10" s="67">
        <f t="shared" si="0"/>
        <v>6</v>
      </c>
      <c r="B10" s="102"/>
      <c r="C10" s="68"/>
      <c r="D10" s="118" t="s">
        <v>429</v>
      </c>
      <c r="E10" s="119" t="s">
        <v>429</v>
      </c>
      <c r="F10" s="119" t="s">
        <v>429</v>
      </c>
      <c r="G10" s="119" t="s">
        <v>429</v>
      </c>
      <c r="H10" s="138" t="s">
        <v>542</v>
      </c>
      <c r="I10" s="1"/>
      <c r="J10" t="s">
        <v>450</v>
      </c>
      <c r="K10" t="s">
        <v>381</v>
      </c>
      <c r="L10" t="s">
        <v>6</v>
      </c>
      <c r="M10" t="s">
        <v>7</v>
      </c>
      <c r="N10" s="45" t="s">
        <v>456</v>
      </c>
    </row>
    <row r="11" spans="1:14" x14ac:dyDescent="0.25">
      <c r="A11" s="67">
        <f t="shared" si="0"/>
        <v>7</v>
      </c>
      <c r="B11" s="68" t="s">
        <v>539</v>
      </c>
      <c r="C11" s="92" t="s">
        <v>562</v>
      </c>
      <c r="D11" s="105" t="s">
        <v>486</v>
      </c>
      <c r="E11" s="106" t="s">
        <v>487</v>
      </c>
      <c r="F11" s="106" t="s">
        <v>488</v>
      </c>
      <c r="G11" t="s">
        <v>485</v>
      </c>
      <c r="H11" s="131" t="s">
        <v>538</v>
      </c>
      <c r="I11" s="1"/>
      <c r="J11" t="s">
        <v>9</v>
      </c>
      <c r="K11" t="s">
        <v>381</v>
      </c>
      <c r="L11" t="s">
        <v>6</v>
      </c>
      <c r="M11" t="s">
        <v>7</v>
      </c>
      <c r="N11" s="43" t="s">
        <v>359</v>
      </c>
    </row>
    <row r="12" spans="1:14" x14ac:dyDescent="0.25">
      <c r="A12" s="67">
        <f t="shared" si="0"/>
        <v>8</v>
      </c>
      <c r="C12" s="92" t="s">
        <v>562</v>
      </c>
      <c r="D12" s="105" t="s">
        <v>489</v>
      </c>
      <c r="E12" s="106" t="s">
        <v>487</v>
      </c>
      <c r="F12" s="106" t="s">
        <v>490</v>
      </c>
      <c r="G12" t="s">
        <v>491</v>
      </c>
      <c r="H12" s="131" t="s">
        <v>538</v>
      </c>
      <c r="I12" s="1"/>
      <c r="J12" t="s">
        <v>259</v>
      </c>
      <c r="K12" t="s">
        <v>381</v>
      </c>
      <c r="L12" t="s">
        <v>6</v>
      </c>
      <c r="M12" t="s">
        <v>7</v>
      </c>
      <c r="N12" s="45" t="s">
        <v>351</v>
      </c>
    </row>
    <row r="13" spans="1:14" x14ac:dyDescent="0.25">
      <c r="A13" s="67">
        <f t="shared" si="0"/>
        <v>9</v>
      </c>
      <c r="C13" s="92" t="s">
        <v>562</v>
      </c>
      <c r="D13" s="118" t="s">
        <v>429</v>
      </c>
      <c r="E13" s="119" t="s">
        <v>429</v>
      </c>
      <c r="F13" s="119" t="s">
        <v>429</v>
      </c>
      <c r="G13" s="119" t="s">
        <v>429</v>
      </c>
      <c r="H13" s="138" t="s">
        <v>542</v>
      </c>
      <c r="I13" s="1"/>
      <c r="J13" t="s">
        <v>10</v>
      </c>
      <c r="K13" t="s">
        <v>381</v>
      </c>
      <c r="L13" t="s">
        <v>6</v>
      </c>
      <c r="M13" t="s">
        <v>7</v>
      </c>
      <c r="N13" s="22" t="s">
        <v>376</v>
      </c>
    </row>
    <row r="14" spans="1:14" x14ac:dyDescent="0.25">
      <c r="A14" s="67">
        <f t="shared" si="0"/>
        <v>10</v>
      </c>
      <c r="B14" s="68" t="s">
        <v>539</v>
      </c>
      <c r="C14" s="92" t="s">
        <v>562</v>
      </c>
      <c r="D14" s="118" t="s">
        <v>429</v>
      </c>
      <c r="E14" s="119" t="s">
        <v>429</v>
      </c>
      <c r="F14" s="119" t="s">
        <v>429</v>
      </c>
      <c r="G14" s="119" t="s">
        <v>429</v>
      </c>
      <c r="H14" s="138" t="s">
        <v>542</v>
      </c>
      <c r="I14" s="1"/>
      <c r="J14" s="26" t="s">
        <v>514</v>
      </c>
      <c r="K14" t="s">
        <v>381</v>
      </c>
      <c r="L14" t="s">
        <v>6</v>
      </c>
      <c r="M14" s="26" t="s">
        <v>7</v>
      </c>
      <c r="N14" s="45" t="s">
        <v>384</v>
      </c>
    </row>
    <row r="15" spans="1:14" x14ac:dyDescent="0.25">
      <c r="A15" s="67">
        <f t="shared" si="0"/>
        <v>11</v>
      </c>
      <c r="B15" s="68" t="s">
        <v>539</v>
      </c>
      <c r="C15" s="68"/>
      <c r="D15" s="118" t="s">
        <v>429</v>
      </c>
      <c r="E15" s="119" t="s">
        <v>429</v>
      </c>
      <c r="F15" s="119" t="s">
        <v>429</v>
      </c>
      <c r="G15" s="119" t="s">
        <v>429</v>
      </c>
      <c r="H15" s="138" t="s">
        <v>542</v>
      </c>
      <c r="I15" s="1"/>
      <c r="J15" s="26" t="s">
        <v>188</v>
      </c>
      <c r="K15" t="s">
        <v>381</v>
      </c>
      <c r="L15" t="s">
        <v>6</v>
      </c>
      <c r="M15" s="26" t="s">
        <v>7</v>
      </c>
      <c r="N15" s="45" t="s">
        <v>385</v>
      </c>
    </row>
    <row r="16" spans="1:14" x14ac:dyDescent="0.25">
      <c r="A16" s="90"/>
      <c r="B16" s="35"/>
      <c r="C16" s="35"/>
      <c r="D16" s="8"/>
      <c r="E16" s="35"/>
      <c r="F16" s="35"/>
      <c r="G16" s="35"/>
      <c r="H16" s="132"/>
      <c r="I16" s="8" t="s">
        <v>471</v>
      </c>
      <c r="J16" s="35"/>
      <c r="K16" s="35"/>
      <c r="L16" s="35"/>
      <c r="M16" s="35"/>
      <c r="N16" s="95"/>
    </row>
    <row r="17" spans="1:14" x14ac:dyDescent="0.25">
      <c r="A17" s="72">
        <f>A15+1</f>
        <v>12</v>
      </c>
      <c r="B17" s="68" t="s">
        <v>539</v>
      </c>
      <c r="D17" s="118" t="s">
        <v>429</v>
      </c>
      <c r="E17" s="119" t="s">
        <v>429</v>
      </c>
      <c r="F17" s="119" t="s">
        <v>429</v>
      </c>
      <c r="G17" s="119" t="s">
        <v>429</v>
      </c>
      <c r="H17" s="138" t="s">
        <v>542</v>
      </c>
      <c r="I17" s="1"/>
      <c r="J17" s="26" t="s">
        <v>430</v>
      </c>
      <c r="K17" s="27" t="s">
        <v>443</v>
      </c>
      <c r="L17" t="s">
        <v>6</v>
      </c>
      <c r="M17" t="s">
        <v>7</v>
      </c>
      <c r="N17" s="45" t="s">
        <v>437</v>
      </c>
    </row>
    <row r="18" spans="1:14" x14ac:dyDescent="0.25">
      <c r="A18" s="108">
        <f>A17+1</f>
        <v>13</v>
      </c>
      <c r="B18" s="68" t="s">
        <v>539</v>
      </c>
      <c r="C18" s="92" t="s">
        <v>562</v>
      </c>
      <c r="D18" s="112" t="s">
        <v>515</v>
      </c>
      <c r="E18" s="113" t="s">
        <v>493</v>
      </c>
      <c r="F18" s="113" t="s">
        <v>488</v>
      </c>
      <c r="G18" s="26" t="s">
        <v>565</v>
      </c>
      <c r="H18" s="141" t="s">
        <v>538</v>
      </c>
      <c r="I18" s="142"/>
      <c r="J18" s="26" t="s">
        <v>190</v>
      </c>
      <c r="K18" s="15" t="s">
        <v>411</v>
      </c>
      <c r="L18" s="26" t="s">
        <v>544</v>
      </c>
      <c r="M18" s="26" t="s">
        <v>7</v>
      </c>
      <c r="N18" s="43" t="s">
        <v>431</v>
      </c>
    </row>
    <row r="19" spans="1:14" x14ac:dyDescent="0.25">
      <c r="A19" s="72">
        <f>A18+1</f>
        <v>14</v>
      </c>
      <c r="B19" s="68" t="s">
        <v>539</v>
      </c>
      <c r="C19" s="92"/>
      <c r="D19" s="105" t="s">
        <v>515</v>
      </c>
      <c r="E19" s="106" t="s">
        <v>493</v>
      </c>
      <c r="F19" s="113" t="s">
        <v>488</v>
      </c>
      <c r="G19" t="s">
        <v>516</v>
      </c>
      <c r="H19" s="131" t="s">
        <v>538</v>
      </c>
      <c r="I19" s="1"/>
      <c r="J19" t="s">
        <v>16</v>
      </c>
      <c r="K19" t="s">
        <v>381</v>
      </c>
      <c r="L19" t="s">
        <v>6</v>
      </c>
      <c r="M19" t="s">
        <v>7</v>
      </c>
      <c r="N19" s="43" t="s">
        <v>288</v>
      </c>
    </row>
    <row r="20" spans="1:14" x14ac:dyDescent="0.25">
      <c r="A20" s="72">
        <f>A19+1</f>
        <v>15</v>
      </c>
      <c r="B20" s="69"/>
      <c r="C20" s="92"/>
      <c r="D20" s="105" t="s">
        <v>515</v>
      </c>
      <c r="E20" s="106" t="s">
        <v>493</v>
      </c>
      <c r="F20" s="106" t="s">
        <v>488</v>
      </c>
      <c r="G20" t="s">
        <v>543</v>
      </c>
      <c r="H20" s="131" t="s">
        <v>538</v>
      </c>
      <c r="I20" s="1"/>
      <c r="J20" t="s">
        <v>17</v>
      </c>
      <c r="K20" t="s">
        <v>381</v>
      </c>
      <c r="L20" t="s">
        <v>6</v>
      </c>
      <c r="M20" t="s">
        <v>7</v>
      </c>
      <c r="N20" s="43" t="s">
        <v>177</v>
      </c>
    </row>
    <row r="21" spans="1:14" x14ac:dyDescent="0.25">
      <c r="A21" s="72">
        <f>A20+1</f>
        <v>16</v>
      </c>
      <c r="D21" s="105" t="s">
        <v>515</v>
      </c>
      <c r="E21" s="106" t="s">
        <v>487</v>
      </c>
      <c r="F21" s="106" t="s">
        <v>488</v>
      </c>
      <c r="G21" s="26" t="s">
        <v>564</v>
      </c>
      <c r="H21" s="131" t="s">
        <v>538</v>
      </c>
      <c r="I21" s="1"/>
      <c r="J21" t="s">
        <v>394</v>
      </c>
      <c r="K21" t="s">
        <v>381</v>
      </c>
      <c r="L21" t="s">
        <v>6</v>
      </c>
      <c r="M21" t="s">
        <v>7</v>
      </c>
      <c r="N21" s="43" t="s">
        <v>176</v>
      </c>
    </row>
    <row r="22" spans="1:14" x14ac:dyDescent="0.25">
      <c r="A22" s="72">
        <f>A21+1</f>
        <v>17</v>
      </c>
      <c r="D22" s="118" t="s">
        <v>429</v>
      </c>
      <c r="E22" s="119" t="s">
        <v>429</v>
      </c>
      <c r="F22" s="119" t="s">
        <v>429</v>
      </c>
      <c r="G22" s="119" t="s">
        <v>429</v>
      </c>
      <c r="H22" s="138" t="s">
        <v>542</v>
      </c>
      <c r="I22" s="1"/>
      <c r="J22" s="27" t="s">
        <v>340</v>
      </c>
      <c r="K22" s="27" t="s">
        <v>422</v>
      </c>
      <c r="L22" s="27" t="s">
        <v>6</v>
      </c>
      <c r="M22" s="27" t="s">
        <v>193</v>
      </c>
      <c r="N22" s="46" t="s">
        <v>360</v>
      </c>
    </row>
    <row r="23" spans="1:14" x14ac:dyDescent="0.25">
      <c r="A23" s="90"/>
      <c r="B23" s="35"/>
      <c r="C23" s="35"/>
      <c r="D23" s="8"/>
      <c r="E23" s="35"/>
      <c r="F23" s="35"/>
      <c r="G23" s="35"/>
      <c r="H23" s="132"/>
      <c r="I23" s="103" t="s">
        <v>481</v>
      </c>
      <c r="J23" s="35"/>
      <c r="K23" s="35"/>
      <c r="L23" s="35"/>
      <c r="M23" s="35"/>
      <c r="N23" s="95"/>
    </row>
    <row r="24" spans="1:14" x14ac:dyDescent="0.25">
      <c r="A24" s="72">
        <f>A22+1</f>
        <v>18</v>
      </c>
      <c r="B24" s="68" t="s">
        <v>539</v>
      </c>
      <c r="C24" s="68"/>
      <c r="D24" s="118" t="s">
        <v>429</v>
      </c>
      <c r="E24" s="119" t="s">
        <v>429</v>
      </c>
      <c r="F24" s="119" t="s">
        <v>429</v>
      </c>
      <c r="G24" s="119" t="s">
        <v>429</v>
      </c>
      <c r="H24" s="138" t="s">
        <v>542</v>
      </c>
      <c r="I24" s="1"/>
      <c r="J24" s="26" t="s">
        <v>341</v>
      </c>
      <c r="K24" t="s">
        <v>381</v>
      </c>
      <c r="L24" t="s">
        <v>6</v>
      </c>
      <c r="M24" t="s">
        <v>7</v>
      </c>
      <c r="N24" s="45" t="s">
        <v>284</v>
      </c>
    </row>
    <row r="25" spans="1:14" x14ac:dyDescent="0.25">
      <c r="A25" s="72">
        <f>A24+1</f>
        <v>19</v>
      </c>
      <c r="B25" s="68" t="s">
        <v>539</v>
      </c>
      <c r="C25" s="92" t="s">
        <v>562</v>
      </c>
      <c r="D25" s="105" t="s">
        <v>489</v>
      </c>
      <c r="E25" s="106" t="s">
        <v>487</v>
      </c>
      <c r="F25" s="106" t="s">
        <v>490</v>
      </c>
      <c r="G25" s="26" t="s">
        <v>403</v>
      </c>
      <c r="H25" s="133" t="s">
        <v>540</v>
      </c>
      <c r="I25" s="1"/>
      <c r="J25" t="s">
        <v>404</v>
      </c>
      <c r="K25" t="s">
        <v>381</v>
      </c>
      <c r="L25" t="s">
        <v>6</v>
      </c>
      <c r="M25" t="s">
        <v>7</v>
      </c>
      <c r="N25" s="43" t="s">
        <v>288</v>
      </c>
    </row>
    <row r="26" spans="1:14" x14ac:dyDescent="0.25">
      <c r="A26" s="72">
        <f t="shared" ref="A26:A28" si="1">A25+1</f>
        <v>20</v>
      </c>
      <c r="C26" s="92" t="s">
        <v>562</v>
      </c>
      <c r="D26" s="105" t="s">
        <v>489</v>
      </c>
      <c r="E26" s="106" t="s">
        <v>487</v>
      </c>
      <c r="F26" s="106" t="s">
        <v>490</v>
      </c>
      <c r="G26" s="26" t="s">
        <v>546</v>
      </c>
      <c r="H26" s="131" t="s">
        <v>538</v>
      </c>
      <c r="I26" s="1"/>
      <c r="J26" t="s">
        <v>217</v>
      </c>
      <c r="K26" s="14" t="s">
        <v>411</v>
      </c>
      <c r="L26" t="s">
        <v>6</v>
      </c>
      <c r="M26" t="s">
        <v>7</v>
      </c>
      <c r="N26" s="43" t="s">
        <v>23</v>
      </c>
    </row>
    <row r="27" spans="1:14" x14ac:dyDescent="0.25">
      <c r="A27" s="72">
        <f t="shared" si="1"/>
        <v>21</v>
      </c>
      <c r="C27" s="92" t="s">
        <v>562</v>
      </c>
      <c r="D27" s="105" t="s">
        <v>515</v>
      </c>
      <c r="E27" s="106" t="s">
        <v>493</v>
      </c>
      <c r="F27" s="106" t="s">
        <v>488</v>
      </c>
      <c r="G27" t="s">
        <v>460</v>
      </c>
      <c r="H27" s="131" t="s">
        <v>538</v>
      </c>
      <c r="I27" s="1"/>
      <c r="J27" t="s">
        <v>458</v>
      </c>
      <c r="K27" s="14" t="s">
        <v>411</v>
      </c>
      <c r="L27" t="s">
        <v>413</v>
      </c>
      <c r="M27" t="s">
        <v>7</v>
      </c>
      <c r="N27" s="45"/>
    </row>
    <row r="28" spans="1:14" x14ac:dyDescent="0.25">
      <c r="A28" s="72">
        <f t="shared" si="1"/>
        <v>22</v>
      </c>
      <c r="C28" s="92" t="s">
        <v>562</v>
      </c>
      <c r="D28" s="105" t="s">
        <v>515</v>
      </c>
      <c r="E28" s="106" t="s">
        <v>487</v>
      </c>
      <c r="F28" s="106" t="s">
        <v>488</v>
      </c>
      <c r="G28" t="s">
        <v>461</v>
      </c>
      <c r="H28" s="131" t="s">
        <v>538</v>
      </c>
      <c r="I28" s="1"/>
      <c r="J28" t="s">
        <v>459</v>
      </c>
      <c r="K28" s="14" t="s">
        <v>411</v>
      </c>
      <c r="L28" t="s">
        <v>462</v>
      </c>
      <c r="M28" t="s">
        <v>7</v>
      </c>
      <c r="N28" s="43" t="s">
        <v>589</v>
      </c>
    </row>
    <row r="29" spans="1:14" x14ac:dyDescent="0.25">
      <c r="A29" s="67">
        <f t="shared" ref="A29:A41" si="2">A28+1</f>
        <v>23</v>
      </c>
      <c r="D29" s="105" t="s">
        <v>486</v>
      </c>
      <c r="E29" s="117" t="s">
        <v>487</v>
      </c>
      <c r="F29" s="123" t="s">
        <v>488</v>
      </c>
      <c r="G29" t="s">
        <v>517</v>
      </c>
      <c r="H29" s="131" t="s">
        <v>538</v>
      </c>
      <c r="I29" s="1"/>
      <c r="J29" t="s">
        <v>29</v>
      </c>
      <c r="K29" t="s">
        <v>381</v>
      </c>
      <c r="L29" t="s">
        <v>348</v>
      </c>
      <c r="M29" t="s">
        <v>7</v>
      </c>
      <c r="N29" s="49">
        <f>(4*2.421*0.025)*2490</f>
        <v>602.82899999999995</v>
      </c>
    </row>
    <row r="30" spans="1:14" x14ac:dyDescent="0.25">
      <c r="A30" s="67">
        <f t="shared" si="2"/>
        <v>24</v>
      </c>
      <c r="D30" s="111" t="s">
        <v>510</v>
      </c>
      <c r="E30" s="106" t="s">
        <v>495</v>
      </c>
      <c r="F30" s="117" t="str">
        <f t="shared" ref="F30" si="3">_xlfn.LET(
_xlpm.A,6-VALUE(RIGHT(TRIM(CLEAN(D30)),1)),
_xlpm.E,6-VALUE(RIGHT(TRIM(CLEAN(E30)),1)),
IF(AND(_xlpm.A&gt;=4,_xlpm.E&gt;=4),"S1",
IF(OR(AND(_xlpm.A=3,_xlpm.E&gt;=3),AND(_xlpm.A&gt;=4,_xlpm.E=3)),"S2",
IF(AND(_xlpm.A=2,_xlpm.E&gt;=3),"S3",
"S4"))))</f>
        <v>S2</v>
      </c>
      <c r="G30" t="s">
        <v>580</v>
      </c>
      <c r="H30" s="131" t="s">
        <v>538</v>
      </c>
      <c r="I30" s="59"/>
      <c r="J30" s="60" t="s">
        <v>38</v>
      </c>
      <c r="K30" s="61" t="s">
        <v>381</v>
      </c>
      <c r="L30" s="61" t="s">
        <v>6</v>
      </c>
      <c r="M30" s="61" t="s">
        <v>214</v>
      </c>
      <c r="N30" s="43" t="s">
        <v>176</v>
      </c>
    </row>
    <row r="31" spans="1:14" x14ac:dyDescent="0.25">
      <c r="A31" s="67">
        <f t="shared" si="2"/>
        <v>25</v>
      </c>
      <c r="D31" s="111" t="s">
        <v>510</v>
      </c>
      <c r="E31" s="106" t="s">
        <v>495</v>
      </c>
      <c r="F31" s="117" t="str">
        <f t="shared" ref="F31:F33" si="4">_xlfn.LET(
_xlpm.A,6-VALUE(RIGHT(TRIM(CLEAN(D31)),1)),
_xlpm.E,6-VALUE(RIGHT(TRIM(CLEAN(E31)),1)),
IF(AND(_xlpm.A&gt;=4,_xlpm.E&gt;=4),"S1",
IF(OR(AND(_xlpm.A=3,_xlpm.E&gt;=3),AND(_xlpm.A&gt;=4,_xlpm.E=3)),"S2",
IF(AND(_xlpm.A=2,_xlpm.E&gt;=3),"S3",
"S4"))))</f>
        <v>S2</v>
      </c>
      <c r="G31" t="s">
        <v>579</v>
      </c>
      <c r="H31" s="131" t="s">
        <v>538</v>
      </c>
      <c r="I31" s="59"/>
      <c r="J31" s="60" t="s">
        <v>39</v>
      </c>
      <c r="K31" s="61" t="s">
        <v>381</v>
      </c>
      <c r="L31" s="61" t="s">
        <v>40</v>
      </c>
      <c r="M31" s="61" t="s">
        <v>214</v>
      </c>
      <c r="N31" s="43">
        <v>0.9</v>
      </c>
    </row>
    <row r="32" spans="1:14" x14ac:dyDescent="0.25">
      <c r="A32" s="67">
        <f t="shared" si="2"/>
        <v>26</v>
      </c>
      <c r="D32" s="111" t="s">
        <v>510</v>
      </c>
      <c r="E32" s="106" t="s">
        <v>495</v>
      </c>
      <c r="F32" s="117" t="str">
        <f t="shared" si="4"/>
        <v>S2</v>
      </c>
      <c r="G32" t="s">
        <v>581</v>
      </c>
      <c r="H32" s="131" t="s">
        <v>538</v>
      </c>
      <c r="I32" s="59"/>
      <c r="J32" s="60" t="s">
        <v>41</v>
      </c>
      <c r="K32" s="61" t="s">
        <v>381</v>
      </c>
      <c r="L32" s="61" t="s">
        <v>40</v>
      </c>
      <c r="M32" s="61" t="s">
        <v>214</v>
      </c>
      <c r="N32" s="43"/>
    </row>
    <row r="33" spans="1:14" x14ac:dyDescent="0.25">
      <c r="A33" s="67">
        <f t="shared" si="2"/>
        <v>27</v>
      </c>
      <c r="D33" s="111" t="s">
        <v>510</v>
      </c>
      <c r="E33" s="106" t="s">
        <v>495</v>
      </c>
      <c r="F33" s="117" t="str">
        <f t="shared" si="4"/>
        <v>S2</v>
      </c>
      <c r="G33" t="s">
        <v>581</v>
      </c>
      <c r="H33" s="131" t="s">
        <v>538</v>
      </c>
      <c r="I33" s="59"/>
      <c r="J33" s="60" t="s">
        <v>42</v>
      </c>
      <c r="K33" s="61" t="s">
        <v>381</v>
      </c>
      <c r="L33" s="61" t="s">
        <v>40</v>
      </c>
      <c r="M33" s="61" t="s">
        <v>214</v>
      </c>
      <c r="N33" s="43">
        <v>1.52</v>
      </c>
    </row>
    <row r="34" spans="1:14" x14ac:dyDescent="0.25">
      <c r="A34" s="67">
        <f t="shared" si="2"/>
        <v>28</v>
      </c>
      <c r="C34" s="92" t="s">
        <v>562</v>
      </c>
      <c r="D34" s="111" t="s">
        <v>510</v>
      </c>
      <c r="E34" s="106" t="s">
        <v>495</v>
      </c>
      <c r="F34" s="117" t="str">
        <f t="shared" ref="F34:F36" si="5">_xlfn.LET(
_xlpm.A,6-VALUE(RIGHT(TRIM(CLEAN(D34)),1)),
_xlpm.E,6-VALUE(RIGHT(TRIM(CLEAN(E34)),1)),
IF(AND(_xlpm.A&gt;=4,_xlpm.E&gt;=4),"S1",
IF(OR(AND(_xlpm.A=3,_xlpm.E&gt;=3),AND(_xlpm.A&gt;=4,_xlpm.E=3)),"S2",
IF(AND(_xlpm.A=2,_xlpm.E&gt;=3),"S3",
"S4"))))</f>
        <v>S2</v>
      </c>
      <c r="G34" t="s">
        <v>579</v>
      </c>
      <c r="H34" s="131" t="s">
        <v>538</v>
      </c>
      <c r="I34" s="59"/>
      <c r="J34" s="60" t="s">
        <v>43</v>
      </c>
      <c r="K34" s="61" t="s">
        <v>381</v>
      </c>
      <c r="L34" s="61" t="s">
        <v>6</v>
      </c>
      <c r="M34" s="61" t="s">
        <v>290</v>
      </c>
      <c r="N34" s="43"/>
    </row>
    <row r="35" spans="1:14" x14ac:dyDescent="0.25">
      <c r="A35" s="67">
        <f t="shared" si="2"/>
        <v>29</v>
      </c>
      <c r="C35" s="92" t="s">
        <v>562</v>
      </c>
      <c r="D35" s="111" t="s">
        <v>510</v>
      </c>
      <c r="E35" s="106" t="s">
        <v>487</v>
      </c>
      <c r="F35" s="117" t="str">
        <f t="shared" si="5"/>
        <v>S2</v>
      </c>
      <c r="G35" t="s">
        <v>582</v>
      </c>
      <c r="H35" s="131" t="s">
        <v>538</v>
      </c>
      <c r="I35" s="59"/>
      <c r="J35" s="62" t="s">
        <v>407</v>
      </c>
      <c r="K35" s="61" t="s">
        <v>381</v>
      </c>
      <c r="L35" s="61" t="s">
        <v>46</v>
      </c>
      <c r="M35" s="61" t="s">
        <v>7</v>
      </c>
      <c r="N35" s="43">
        <v>2.8</v>
      </c>
    </row>
    <row r="36" spans="1:14" x14ac:dyDescent="0.25">
      <c r="A36" s="67">
        <f t="shared" si="2"/>
        <v>30</v>
      </c>
      <c r="D36" s="111" t="s">
        <v>510</v>
      </c>
      <c r="E36" s="106" t="s">
        <v>495</v>
      </c>
      <c r="F36" s="117" t="str">
        <f t="shared" si="5"/>
        <v>S2</v>
      </c>
      <c r="G36" s="140" t="s">
        <v>570</v>
      </c>
      <c r="H36" s="133" t="s">
        <v>540</v>
      </c>
      <c r="I36" s="59"/>
      <c r="J36" s="60" t="s">
        <v>308</v>
      </c>
      <c r="K36" s="61" t="s">
        <v>381</v>
      </c>
      <c r="L36" s="61" t="s">
        <v>6</v>
      </c>
      <c r="M36" s="61" t="s">
        <v>217</v>
      </c>
      <c r="N36" s="43"/>
    </row>
    <row r="37" spans="1:14" x14ac:dyDescent="0.25">
      <c r="A37" s="67">
        <f t="shared" si="2"/>
        <v>31</v>
      </c>
      <c r="D37" s="118" t="s">
        <v>429</v>
      </c>
      <c r="E37" s="119" t="s">
        <v>429</v>
      </c>
      <c r="F37" s="119" t="s">
        <v>429</v>
      </c>
      <c r="G37" s="119" t="s">
        <v>429</v>
      </c>
      <c r="H37" s="138" t="s">
        <v>542</v>
      </c>
      <c r="I37" s="59"/>
      <c r="J37" s="60" t="s">
        <v>307</v>
      </c>
      <c r="K37" s="61" t="s">
        <v>381</v>
      </c>
      <c r="L37" s="61" t="s">
        <v>6</v>
      </c>
      <c r="M37" s="61" t="s">
        <v>217</v>
      </c>
      <c r="N37" s="43"/>
    </row>
    <row r="38" spans="1:14" x14ac:dyDescent="0.25">
      <c r="A38" s="67">
        <f t="shared" si="2"/>
        <v>32</v>
      </c>
      <c r="D38" s="105" t="s">
        <v>510</v>
      </c>
      <c r="E38" s="106" t="s">
        <v>495</v>
      </c>
      <c r="F38" s="117" t="str">
        <f t="shared" ref="F38" si="6">_xlfn.LET(
_xlpm.A,6-VALUE(RIGHT(TRIM(CLEAN(D38)),1)),
_xlpm.E,6-VALUE(RIGHT(TRIM(CLEAN(E38)),1)),
IF(AND(_xlpm.A&gt;=4,_xlpm.E&gt;=4),"S1",
IF(OR(AND(_xlpm.A=3,_xlpm.E&gt;=3),AND(_xlpm.A&gt;=4,_xlpm.E=3)),"S2",
IF(AND(_xlpm.A=2,_xlpm.E&gt;=3),"S3",
"S4"))))</f>
        <v>S2</v>
      </c>
      <c r="G38" t="s">
        <v>571</v>
      </c>
      <c r="H38" s="131" t="s">
        <v>538</v>
      </c>
      <c r="I38" s="59"/>
      <c r="J38" s="60" t="s">
        <v>58</v>
      </c>
      <c r="K38" s="61" t="s">
        <v>381</v>
      </c>
      <c r="L38" s="61" t="s">
        <v>59</v>
      </c>
      <c r="M38" s="61" t="s">
        <v>217</v>
      </c>
      <c r="N38" s="43"/>
    </row>
    <row r="39" spans="1:14" x14ac:dyDescent="0.25">
      <c r="A39" s="67">
        <f t="shared" si="2"/>
        <v>33</v>
      </c>
      <c r="D39" s="118" t="s">
        <v>429</v>
      </c>
      <c r="E39" s="119" t="s">
        <v>429</v>
      </c>
      <c r="F39" s="119" t="s">
        <v>429</v>
      </c>
      <c r="G39" s="119" t="s">
        <v>429</v>
      </c>
      <c r="H39" s="138" t="s">
        <v>542</v>
      </c>
      <c r="I39" s="59"/>
      <c r="J39" s="60" t="s">
        <v>306</v>
      </c>
      <c r="K39" s="61" t="s">
        <v>381</v>
      </c>
      <c r="L39" s="61" t="s">
        <v>6</v>
      </c>
      <c r="M39" s="61" t="s">
        <v>283</v>
      </c>
      <c r="N39" s="43"/>
    </row>
    <row r="40" spans="1:14" x14ac:dyDescent="0.25">
      <c r="A40" s="67">
        <f t="shared" si="2"/>
        <v>34</v>
      </c>
      <c r="C40" s="68"/>
      <c r="D40" s="111" t="s">
        <v>510</v>
      </c>
      <c r="E40" s="106" t="s">
        <v>495</v>
      </c>
      <c r="F40" s="117" t="s">
        <v>511</v>
      </c>
      <c r="G40" t="s">
        <v>520</v>
      </c>
      <c r="H40" s="131" t="s">
        <v>538</v>
      </c>
      <c r="I40" s="59"/>
      <c r="J40" s="60" t="s">
        <v>305</v>
      </c>
      <c r="K40" s="61" t="s">
        <v>381</v>
      </c>
      <c r="L40" s="61" t="s">
        <v>61</v>
      </c>
      <c r="M40" s="61" t="s">
        <v>223</v>
      </c>
      <c r="N40" s="43"/>
    </row>
    <row r="41" spans="1:14" x14ac:dyDescent="0.25">
      <c r="A41" s="67">
        <f t="shared" si="2"/>
        <v>35</v>
      </c>
      <c r="C41" s="69"/>
      <c r="D41" s="118" t="s">
        <v>429</v>
      </c>
      <c r="E41" s="119" t="s">
        <v>429</v>
      </c>
      <c r="F41" s="119" t="s">
        <v>429</v>
      </c>
      <c r="G41" s="119" t="s">
        <v>429</v>
      </c>
      <c r="H41" s="138" t="s">
        <v>542</v>
      </c>
      <c r="I41" s="59"/>
      <c r="J41" s="60" t="s">
        <v>257</v>
      </c>
      <c r="K41" s="61" t="s">
        <v>381</v>
      </c>
      <c r="L41" s="61" t="s">
        <v>6</v>
      </c>
      <c r="M41" s="61" t="s">
        <v>7</v>
      </c>
      <c r="N41" s="43"/>
    </row>
    <row r="42" spans="1:14" x14ac:dyDescent="0.25">
      <c r="A42" s="93"/>
      <c r="B42" s="35"/>
      <c r="C42" s="35"/>
      <c r="D42" s="8"/>
      <c r="E42" s="35"/>
      <c r="F42" s="35"/>
      <c r="G42" s="35"/>
      <c r="H42" s="132"/>
      <c r="I42" s="8" t="s">
        <v>472</v>
      </c>
      <c r="J42" s="35"/>
      <c r="K42" s="35"/>
      <c r="L42" s="35"/>
      <c r="M42" s="35"/>
      <c r="N42" s="95"/>
    </row>
    <row r="43" spans="1:14" x14ac:dyDescent="0.25">
      <c r="A43" s="67">
        <f>A41+1</f>
        <v>36</v>
      </c>
      <c r="D43" s="139" t="s">
        <v>515</v>
      </c>
      <c r="E43" s="113" t="s">
        <v>487</v>
      </c>
      <c r="F43" s="113" t="s">
        <v>488</v>
      </c>
      <c r="G43" s="26" t="s">
        <v>578</v>
      </c>
      <c r="H43" s="133" t="s">
        <v>540</v>
      </c>
      <c r="I43" s="1"/>
      <c r="J43" s="15" t="s">
        <v>577</v>
      </c>
      <c r="K43" s="14" t="s">
        <v>382</v>
      </c>
      <c r="L43" t="s">
        <v>6</v>
      </c>
      <c r="M43" t="s">
        <v>7</v>
      </c>
      <c r="N43" s="43"/>
    </row>
    <row r="44" spans="1:14" x14ac:dyDescent="0.25">
      <c r="A44" s="67">
        <f>A43+1</f>
        <v>37</v>
      </c>
      <c r="B44" s="68" t="s">
        <v>539</v>
      </c>
      <c r="D44" s="118" t="s">
        <v>429</v>
      </c>
      <c r="E44" s="119" t="s">
        <v>429</v>
      </c>
      <c r="F44" s="119" t="s">
        <v>429</v>
      </c>
      <c r="G44" s="119" t="s">
        <v>429</v>
      </c>
      <c r="H44" s="138" t="s">
        <v>542</v>
      </c>
      <c r="I44" s="1"/>
      <c r="J44" s="14" t="s">
        <v>81</v>
      </c>
      <c r="K44" t="s">
        <v>381</v>
      </c>
      <c r="L44" t="s">
        <v>6</v>
      </c>
      <c r="M44" t="s">
        <v>7</v>
      </c>
      <c r="N44" s="43" t="s">
        <v>134</v>
      </c>
    </row>
    <row r="45" spans="1:14" x14ac:dyDescent="0.25">
      <c r="A45" s="67">
        <f t="shared" ref="A45:A50" si="7">A44+1</f>
        <v>38</v>
      </c>
      <c r="B45" s="68" t="s">
        <v>539</v>
      </c>
      <c r="D45" s="118" t="s">
        <v>429</v>
      </c>
      <c r="E45" s="119" t="s">
        <v>429</v>
      </c>
      <c r="F45" s="119" t="s">
        <v>429</v>
      </c>
      <c r="G45" s="119" t="s">
        <v>429</v>
      </c>
      <c r="H45" s="138" t="s">
        <v>542</v>
      </c>
      <c r="I45" s="1"/>
      <c r="J45" s="14" t="s">
        <v>536</v>
      </c>
      <c r="K45" t="s">
        <v>420</v>
      </c>
      <c r="L45" t="s">
        <v>6</v>
      </c>
      <c r="M45" t="s">
        <v>7</v>
      </c>
      <c r="N45" s="43" t="s">
        <v>169</v>
      </c>
    </row>
    <row r="46" spans="1:14" x14ac:dyDescent="0.25">
      <c r="A46" s="67">
        <f t="shared" si="7"/>
        <v>39</v>
      </c>
      <c r="B46" s="68" t="s">
        <v>539</v>
      </c>
      <c r="D46" s="118" t="s">
        <v>429</v>
      </c>
      <c r="E46" s="119" t="s">
        <v>429</v>
      </c>
      <c r="F46" s="119" t="s">
        <v>429</v>
      </c>
      <c r="G46" s="119" t="s">
        <v>429</v>
      </c>
      <c r="H46" s="138" t="s">
        <v>542</v>
      </c>
      <c r="I46" s="1"/>
      <c r="J46" s="14" t="s">
        <v>234</v>
      </c>
      <c r="K46" t="s">
        <v>381</v>
      </c>
      <c r="L46" t="s">
        <v>6</v>
      </c>
      <c r="M46" t="s">
        <v>7</v>
      </c>
      <c r="N46" s="43" t="s">
        <v>377</v>
      </c>
    </row>
    <row r="47" spans="1:14" x14ac:dyDescent="0.25">
      <c r="A47" s="67">
        <f t="shared" si="7"/>
        <v>40</v>
      </c>
      <c r="D47" s="118" t="s">
        <v>429</v>
      </c>
      <c r="E47" s="119" t="s">
        <v>429</v>
      </c>
      <c r="F47" s="119" t="s">
        <v>429</v>
      </c>
      <c r="G47" s="119" t="s">
        <v>429</v>
      </c>
      <c r="H47" s="138" t="s">
        <v>542</v>
      </c>
      <c r="I47" s="1"/>
      <c r="J47" s="15" t="s">
        <v>233</v>
      </c>
      <c r="K47" t="s">
        <v>381</v>
      </c>
      <c r="L47" t="s">
        <v>6</v>
      </c>
      <c r="M47" t="s">
        <v>7</v>
      </c>
      <c r="N47" s="43"/>
    </row>
    <row r="48" spans="1:14" x14ac:dyDescent="0.25">
      <c r="A48" s="67">
        <f t="shared" si="7"/>
        <v>41</v>
      </c>
      <c r="D48" s="139" t="s">
        <v>515</v>
      </c>
      <c r="E48" s="113" t="s">
        <v>487</v>
      </c>
      <c r="F48" s="113" t="s">
        <v>488</v>
      </c>
      <c r="G48" s="26" t="s">
        <v>535</v>
      </c>
      <c r="H48" s="133" t="s">
        <v>540</v>
      </c>
      <c r="I48" s="1"/>
      <c r="J48" s="15" t="s">
        <v>285</v>
      </c>
      <c r="K48" t="s">
        <v>420</v>
      </c>
      <c r="L48" t="s">
        <v>6</v>
      </c>
      <c r="M48" t="s">
        <v>7</v>
      </c>
      <c r="N48" s="43" t="s">
        <v>169</v>
      </c>
    </row>
    <row r="49" spans="1:14" x14ac:dyDescent="0.25">
      <c r="A49" s="67">
        <f t="shared" si="7"/>
        <v>42</v>
      </c>
      <c r="D49" s="118" t="s">
        <v>429</v>
      </c>
      <c r="E49" s="119" t="s">
        <v>429</v>
      </c>
      <c r="F49" s="119" t="s">
        <v>429</v>
      </c>
      <c r="G49" s="119" t="s">
        <v>429</v>
      </c>
      <c r="H49" s="138" t="s">
        <v>542</v>
      </c>
      <c r="I49" s="1"/>
      <c r="J49" s="14" t="s">
        <v>84</v>
      </c>
      <c r="K49" t="s">
        <v>420</v>
      </c>
      <c r="L49" t="s">
        <v>6</v>
      </c>
      <c r="M49" t="s">
        <v>7</v>
      </c>
      <c r="N49" s="43" t="s">
        <v>169</v>
      </c>
    </row>
    <row r="50" spans="1:14" x14ac:dyDescent="0.25">
      <c r="A50" s="67">
        <f t="shared" si="7"/>
        <v>43</v>
      </c>
      <c r="D50" s="118" t="s">
        <v>429</v>
      </c>
      <c r="E50" s="119" t="s">
        <v>429</v>
      </c>
      <c r="F50" s="119" t="s">
        <v>429</v>
      </c>
      <c r="G50" s="119" t="s">
        <v>429</v>
      </c>
      <c r="H50" s="138" t="s">
        <v>542</v>
      </c>
      <c r="I50" s="1"/>
      <c r="J50" s="14" t="s">
        <v>378</v>
      </c>
      <c r="K50" t="s">
        <v>381</v>
      </c>
      <c r="L50" t="s">
        <v>6</v>
      </c>
      <c r="M50" t="s">
        <v>7</v>
      </c>
      <c r="N50" s="43" t="s">
        <v>377</v>
      </c>
    </row>
    <row r="51" spans="1:14" x14ac:dyDescent="0.25">
      <c r="A51" s="93"/>
      <c r="B51" s="35"/>
      <c r="C51" s="35"/>
      <c r="D51" s="8"/>
      <c r="E51" s="35"/>
      <c r="F51" s="35"/>
      <c r="G51" s="35"/>
      <c r="H51" s="132"/>
      <c r="I51" s="8" t="s">
        <v>473</v>
      </c>
      <c r="J51" s="35"/>
      <c r="K51" s="35"/>
      <c r="L51" s="35"/>
      <c r="M51" s="35"/>
      <c r="N51" s="95"/>
    </row>
    <row r="52" spans="1:14" x14ac:dyDescent="0.25">
      <c r="A52" s="67">
        <f>A50+1</f>
        <v>44</v>
      </c>
      <c r="D52" s="105" t="s">
        <v>489</v>
      </c>
      <c r="E52" s="106" t="s">
        <v>495</v>
      </c>
      <c r="F52" s="106" t="s">
        <v>490</v>
      </c>
      <c r="G52" s="144" t="s">
        <v>545</v>
      </c>
      <c r="H52" s="133" t="s">
        <v>540</v>
      </c>
      <c r="I52" s="1"/>
      <c r="J52" s="15" t="s">
        <v>463</v>
      </c>
      <c r="K52" t="s">
        <v>420</v>
      </c>
      <c r="L52" t="s">
        <v>6</v>
      </c>
      <c r="M52" t="s">
        <v>7</v>
      </c>
      <c r="N52" s="45" t="s">
        <v>346</v>
      </c>
    </row>
    <row r="53" spans="1:14" x14ac:dyDescent="0.25">
      <c r="A53" s="67">
        <f>A52+1</f>
        <v>45</v>
      </c>
      <c r="D53" s="118" t="s">
        <v>429</v>
      </c>
      <c r="E53" s="119" t="s">
        <v>429</v>
      </c>
      <c r="F53" s="119" t="s">
        <v>429</v>
      </c>
      <c r="G53" s="119" t="s">
        <v>429</v>
      </c>
      <c r="H53" s="138" t="s">
        <v>542</v>
      </c>
      <c r="I53" s="1"/>
      <c r="J53" s="15" t="s">
        <v>464</v>
      </c>
      <c r="K53" t="s">
        <v>420</v>
      </c>
      <c r="L53" t="s">
        <v>6</v>
      </c>
      <c r="M53" t="s">
        <v>7</v>
      </c>
      <c r="N53" s="45" t="s">
        <v>169</v>
      </c>
    </row>
    <row r="54" spans="1:14" x14ac:dyDescent="0.25">
      <c r="A54" s="67">
        <f t="shared" ref="A54:A60" si="8">A53+1</f>
        <v>46</v>
      </c>
      <c r="D54" s="111" t="s">
        <v>510</v>
      </c>
      <c r="E54" s="106" t="s">
        <v>495</v>
      </c>
      <c r="F54" s="117" t="str">
        <f t="shared" ref="F54" si="9">_xlfn.LET(
_xlpm.A,6-VALUE(RIGHT(TRIM(CLEAN(D54)),1)),
_xlpm.E,6-VALUE(RIGHT(TRIM(CLEAN(E54)),1)),
IF(AND(_xlpm.A&gt;=4,_xlpm.E&gt;=4),"S1",
IF(OR(AND(_xlpm.A=3,_xlpm.E&gt;=3),AND(_xlpm.A&gt;=4,_xlpm.E=3)),"S2",
IF(AND(_xlpm.A=2,_xlpm.E&gt;=3),"S3",
"S4"))))</f>
        <v>S2</v>
      </c>
      <c r="G54" s="26" t="s">
        <v>576</v>
      </c>
      <c r="H54" s="133" t="s">
        <v>540</v>
      </c>
      <c r="I54" s="1"/>
      <c r="J54" s="15" t="s">
        <v>573</v>
      </c>
      <c r="K54" t="s">
        <v>420</v>
      </c>
      <c r="L54" t="s">
        <v>6</v>
      </c>
      <c r="M54" t="s">
        <v>7</v>
      </c>
      <c r="N54" s="45"/>
    </row>
    <row r="55" spans="1:14" x14ac:dyDescent="0.25">
      <c r="A55" s="67">
        <f t="shared" si="8"/>
        <v>47</v>
      </c>
      <c r="D55" s="105" t="s">
        <v>486</v>
      </c>
      <c r="E55" s="117" t="s">
        <v>487</v>
      </c>
      <c r="F55" s="117" t="s">
        <v>488</v>
      </c>
      <c r="G55" s="140" t="s">
        <v>426</v>
      </c>
      <c r="H55" s="133" t="s">
        <v>540</v>
      </c>
      <c r="I55" s="1"/>
      <c r="J55" s="14" t="s">
        <v>466</v>
      </c>
      <c r="K55" t="s">
        <v>420</v>
      </c>
      <c r="L55" t="s">
        <v>6</v>
      </c>
      <c r="M55" t="s">
        <v>7</v>
      </c>
      <c r="N55" s="45"/>
    </row>
    <row r="56" spans="1:14" x14ac:dyDescent="0.25">
      <c r="A56" s="67">
        <f t="shared" si="8"/>
        <v>48</v>
      </c>
      <c r="D56" s="112" t="s">
        <v>489</v>
      </c>
      <c r="E56" s="113" t="s">
        <v>495</v>
      </c>
      <c r="F56" s="113" t="s">
        <v>490</v>
      </c>
      <c r="G56" s="26" t="s">
        <v>427</v>
      </c>
      <c r="H56" s="133" t="s">
        <v>540</v>
      </c>
      <c r="I56" s="1"/>
      <c r="J56" s="14" t="s">
        <v>391</v>
      </c>
      <c r="K56" t="s">
        <v>420</v>
      </c>
      <c r="L56" t="s">
        <v>6</v>
      </c>
      <c r="M56" t="s">
        <v>7</v>
      </c>
      <c r="N56" s="45"/>
    </row>
    <row r="57" spans="1:14" ht="15" customHeight="1" x14ac:dyDescent="0.25">
      <c r="A57" s="67">
        <f t="shared" si="8"/>
        <v>49</v>
      </c>
      <c r="D57" s="112" t="s">
        <v>489</v>
      </c>
      <c r="E57" s="113" t="s">
        <v>495</v>
      </c>
      <c r="F57" s="113" t="s">
        <v>490</v>
      </c>
      <c r="G57" s="26" t="s">
        <v>568</v>
      </c>
      <c r="H57" s="133" t="s">
        <v>540</v>
      </c>
      <c r="I57" s="1"/>
      <c r="J57" s="15" t="s">
        <v>566</v>
      </c>
      <c r="K57" t="s">
        <v>420</v>
      </c>
      <c r="L57" t="s">
        <v>6</v>
      </c>
      <c r="M57" t="s">
        <v>7</v>
      </c>
      <c r="N57" s="45"/>
    </row>
    <row r="58" spans="1:14" x14ac:dyDescent="0.25">
      <c r="A58" s="67">
        <f t="shared" si="8"/>
        <v>50</v>
      </c>
      <c r="D58" s="112" t="s">
        <v>489</v>
      </c>
      <c r="E58" s="113" t="s">
        <v>495</v>
      </c>
      <c r="F58" s="113" t="s">
        <v>490</v>
      </c>
      <c r="G58" t="s">
        <v>567</v>
      </c>
      <c r="H58" s="133" t="s">
        <v>540</v>
      </c>
      <c r="I58" s="1"/>
      <c r="J58" s="14" t="s">
        <v>467</v>
      </c>
      <c r="K58" t="s">
        <v>420</v>
      </c>
      <c r="L58" t="s">
        <v>6</v>
      </c>
      <c r="M58" t="s">
        <v>7</v>
      </c>
      <c r="N58" s="45"/>
    </row>
    <row r="59" spans="1:14" x14ac:dyDescent="0.25">
      <c r="A59" s="67">
        <f t="shared" si="8"/>
        <v>51</v>
      </c>
      <c r="D59" s="112" t="s">
        <v>489</v>
      </c>
      <c r="E59" s="113" t="s">
        <v>495</v>
      </c>
      <c r="F59" s="113" t="s">
        <v>490</v>
      </c>
      <c r="G59" t="s">
        <v>553</v>
      </c>
      <c r="H59" s="133" t="s">
        <v>540</v>
      </c>
      <c r="I59" s="1"/>
      <c r="J59" s="14" t="s">
        <v>468</v>
      </c>
      <c r="K59" t="s">
        <v>420</v>
      </c>
      <c r="L59" t="s">
        <v>6</v>
      </c>
      <c r="M59" t="s">
        <v>392</v>
      </c>
      <c r="N59" s="45"/>
    </row>
    <row r="60" spans="1:14" x14ac:dyDescent="0.25">
      <c r="A60" s="67">
        <f t="shared" si="8"/>
        <v>52</v>
      </c>
      <c r="D60" s="105" t="s">
        <v>486</v>
      </c>
      <c r="E60" s="106" t="s">
        <v>487</v>
      </c>
      <c r="F60" s="106" t="s">
        <v>488</v>
      </c>
      <c r="G60" t="s">
        <v>400</v>
      </c>
      <c r="H60" s="131" t="s">
        <v>538</v>
      </c>
      <c r="I60" s="1"/>
      <c r="J60" s="15" t="s">
        <v>91</v>
      </c>
      <c r="K60" t="s">
        <v>381</v>
      </c>
      <c r="L60" t="s">
        <v>6</v>
      </c>
      <c r="M60" t="s">
        <v>7</v>
      </c>
      <c r="N60" s="45" t="s">
        <v>169</v>
      </c>
    </row>
    <row r="61" spans="1:14" x14ac:dyDescent="0.25">
      <c r="A61" s="93"/>
      <c r="B61" s="35"/>
      <c r="C61" s="35"/>
      <c r="D61" s="8"/>
      <c r="E61" s="35"/>
      <c r="F61" s="35"/>
      <c r="G61" s="35"/>
      <c r="H61" s="132"/>
      <c r="I61" s="8" t="s">
        <v>474</v>
      </c>
      <c r="J61" s="35"/>
      <c r="K61" s="35"/>
      <c r="L61" s="35"/>
      <c r="M61" s="35"/>
      <c r="N61" s="95"/>
    </row>
    <row r="62" spans="1:14" x14ac:dyDescent="0.25">
      <c r="A62" s="67">
        <f>A60+1</f>
        <v>53</v>
      </c>
      <c r="C62" s="68"/>
      <c r="D62" s="112" t="s">
        <v>489</v>
      </c>
      <c r="E62" s="113" t="s">
        <v>495</v>
      </c>
      <c r="F62" s="113" t="s">
        <v>490</v>
      </c>
      <c r="G62" s="119" t="s">
        <v>583</v>
      </c>
      <c r="H62" s="133" t="s">
        <v>540</v>
      </c>
      <c r="I62" s="1"/>
      <c r="J62" s="14" t="s">
        <v>547</v>
      </c>
      <c r="K62" s="14" t="s">
        <v>550</v>
      </c>
      <c r="L62" t="s">
        <v>6</v>
      </c>
      <c r="M62" t="s">
        <v>7</v>
      </c>
      <c r="N62" s="43"/>
    </row>
    <row r="63" spans="1:14" x14ac:dyDescent="0.25">
      <c r="A63" s="67">
        <f>A62+1</f>
        <v>54</v>
      </c>
      <c r="C63" s="69"/>
      <c r="D63" s="105" t="s">
        <v>489</v>
      </c>
      <c r="E63" s="106" t="s">
        <v>495</v>
      </c>
      <c r="F63" s="106" t="str">
        <f t="shared" ref="F63:F64" si="10">_xlfn.LET(
_xlpm.A,6-VALUE(RIGHT(TRIM(CLEAN(D63)),1)),
_xlpm.E,6-VALUE(RIGHT(TRIM(CLEAN(E63)),1)),
IF(AND(_xlpm.A&gt;=4,_xlpm.E&gt;=4),"S1",
IF(OR(AND(_xlpm.A=3,_xlpm.E&gt;=3),AND(_xlpm.A&gt;=4,_xlpm.E=3)),"S2",
IF(AND(_xlpm.A=2,_xlpm.E&gt;=3),"S3",
"S4"))))</f>
        <v>S3</v>
      </c>
      <c r="G63" s="144" t="s">
        <v>569</v>
      </c>
      <c r="H63" s="145" t="s">
        <v>540</v>
      </c>
      <c r="I63" s="1"/>
      <c r="J63" s="14" t="s">
        <v>548</v>
      </c>
      <c r="K63" s="14" t="s">
        <v>550</v>
      </c>
      <c r="L63" t="s">
        <v>6</v>
      </c>
      <c r="M63" t="s">
        <v>7</v>
      </c>
      <c r="N63" s="43"/>
    </row>
    <row r="64" spans="1:14" x14ac:dyDescent="0.25">
      <c r="A64" s="67">
        <f>A63+1</f>
        <v>55</v>
      </c>
      <c r="D64" s="105" t="s">
        <v>489</v>
      </c>
      <c r="E64" s="106" t="s">
        <v>495</v>
      </c>
      <c r="F64" s="113" t="str">
        <f t="shared" si="10"/>
        <v>S3</v>
      </c>
      <c r="G64" t="s">
        <v>553</v>
      </c>
      <c r="H64" s="133" t="s">
        <v>540</v>
      </c>
      <c r="I64" s="1"/>
      <c r="J64" s="14" t="s">
        <v>549</v>
      </c>
      <c r="K64" s="14" t="s">
        <v>550</v>
      </c>
      <c r="L64" t="s">
        <v>6</v>
      </c>
      <c r="M64" t="s">
        <v>7</v>
      </c>
      <c r="N64" s="43"/>
    </row>
    <row r="65" spans="1:14" x14ac:dyDescent="0.25">
      <c r="A65" s="93"/>
      <c r="B65" s="35"/>
      <c r="C65" s="35"/>
      <c r="D65" s="8"/>
      <c r="E65" s="35"/>
      <c r="F65" s="35"/>
      <c r="G65" s="35"/>
      <c r="H65" s="132"/>
      <c r="I65" s="91" t="s">
        <v>480</v>
      </c>
      <c r="J65" s="35"/>
      <c r="K65" s="35"/>
      <c r="L65" s="35"/>
      <c r="M65" s="35"/>
      <c r="N65" s="95"/>
    </row>
    <row r="66" spans="1:14" x14ac:dyDescent="0.25">
      <c r="A66" s="72">
        <f>A64+1</f>
        <v>56</v>
      </c>
      <c r="B66" s="68" t="s">
        <v>539</v>
      </c>
      <c r="C66" s="68"/>
      <c r="D66" s="105" t="s">
        <v>489</v>
      </c>
      <c r="E66" s="106" t="s">
        <v>487</v>
      </c>
      <c r="F66" s="106" t="s">
        <v>490</v>
      </c>
      <c r="G66" t="s">
        <v>533</v>
      </c>
      <c r="H66" s="133" t="s">
        <v>540</v>
      </c>
      <c r="I66" s="1"/>
      <c r="J66" s="14" t="s">
        <v>469</v>
      </c>
      <c r="K66" t="s">
        <v>420</v>
      </c>
      <c r="L66" t="s">
        <v>6</v>
      </c>
      <c r="M66" t="s">
        <v>7</v>
      </c>
      <c r="N66" s="43" t="s">
        <v>346</v>
      </c>
    </row>
    <row r="67" spans="1:14" x14ac:dyDescent="0.25">
      <c r="A67" s="72">
        <f>A66+1</f>
        <v>57</v>
      </c>
      <c r="B67" s="68" t="s">
        <v>539</v>
      </c>
      <c r="C67" s="69"/>
      <c r="D67" s="111" t="s">
        <v>486</v>
      </c>
      <c r="E67" s="106" t="s">
        <v>493</v>
      </c>
      <c r="F67" s="106" t="s">
        <v>488</v>
      </c>
      <c r="G67" t="s">
        <v>492</v>
      </c>
      <c r="H67" s="131" t="s">
        <v>538</v>
      </c>
      <c r="I67" s="1"/>
      <c r="J67" s="14" t="s">
        <v>345</v>
      </c>
      <c r="K67" t="s">
        <v>381</v>
      </c>
      <c r="L67" t="s">
        <v>6</v>
      </c>
      <c r="M67" t="s">
        <v>7</v>
      </c>
      <c r="N67" s="43" t="s">
        <v>363</v>
      </c>
    </row>
    <row r="68" spans="1:14" x14ac:dyDescent="0.25">
      <c r="A68" s="72">
        <f>A67+1</f>
        <v>58</v>
      </c>
      <c r="D68" s="118" t="s">
        <v>429</v>
      </c>
      <c r="E68" s="119" t="s">
        <v>429</v>
      </c>
      <c r="F68" s="119" t="s">
        <v>429</v>
      </c>
      <c r="G68" s="119" t="s">
        <v>429</v>
      </c>
      <c r="H68" s="138" t="s">
        <v>542</v>
      </c>
      <c r="I68" s="1"/>
      <c r="J68" s="14" t="s">
        <v>408</v>
      </c>
      <c r="K68" s="14" t="s">
        <v>411</v>
      </c>
      <c r="L68" t="s">
        <v>6</v>
      </c>
      <c r="M68" t="s">
        <v>7</v>
      </c>
      <c r="N68" s="43"/>
    </row>
    <row r="69" spans="1:14" x14ac:dyDescent="0.25">
      <c r="A69" s="93"/>
      <c r="B69" s="35"/>
      <c r="C69" s="35"/>
      <c r="D69" s="8"/>
      <c r="E69" s="35"/>
      <c r="F69" s="35"/>
      <c r="G69" s="35"/>
      <c r="H69" s="132"/>
      <c r="I69" s="91" t="s">
        <v>479</v>
      </c>
      <c r="J69" s="35"/>
      <c r="K69" s="35"/>
      <c r="L69" s="35"/>
      <c r="M69" s="35"/>
      <c r="N69" s="95"/>
    </row>
    <row r="70" spans="1:14" x14ac:dyDescent="0.25">
      <c r="A70" s="67">
        <f>A68+1</f>
        <v>59</v>
      </c>
      <c r="B70" s="26"/>
      <c r="D70" s="118" t="s">
        <v>429</v>
      </c>
      <c r="E70" s="119" t="s">
        <v>429</v>
      </c>
      <c r="F70" s="119" t="s">
        <v>429</v>
      </c>
      <c r="G70" s="119" t="s">
        <v>429</v>
      </c>
      <c r="H70" s="138" t="s">
        <v>542</v>
      </c>
      <c r="I70" s="1"/>
      <c r="J70" s="15" t="s">
        <v>521</v>
      </c>
      <c r="K70" s="14" t="s">
        <v>411</v>
      </c>
      <c r="L70" t="s">
        <v>6</v>
      </c>
      <c r="M70" t="s">
        <v>7</v>
      </c>
      <c r="N70" s="22" t="s">
        <v>440</v>
      </c>
    </row>
    <row r="71" spans="1:14" x14ac:dyDescent="0.25">
      <c r="A71" s="67">
        <f>A70+1</f>
        <v>60</v>
      </c>
      <c r="B71" s="26"/>
      <c r="D71" s="118" t="s">
        <v>429</v>
      </c>
      <c r="E71" s="119" t="s">
        <v>429</v>
      </c>
      <c r="F71" s="119" t="s">
        <v>429</v>
      </c>
      <c r="G71" s="119" t="s">
        <v>429</v>
      </c>
      <c r="H71" s="138" t="s">
        <v>542</v>
      </c>
      <c r="I71" s="1"/>
      <c r="J71" s="15" t="s">
        <v>522</v>
      </c>
      <c r="K71" s="14" t="s">
        <v>411</v>
      </c>
      <c r="L71" t="s">
        <v>6</v>
      </c>
      <c r="M71" t="s">
        <v>7</v>
      </c>
      <c r="N71" s="22" t="s">
        <v>442</v>
      </c>
    </row>
    <row r="72" spans="1:14" x14ac:dyDescent="0.25">
      <c r="A72" s="67">
        <f t="shared" ref="A72:A73" si="11">A71+1</f>
        <v>61</v>
      </c>
      <c r="B72" s="26"/>
      <c r="D72" s="118" t="s">
        <v>429</v>
      </c>
      <c r="E72" s="119" t="s">
        <v>429</v>
      </c>
      <c r="F72" s="119" t="s">
        <v>429</v>
      </c>
      <c r="G72" s="119" t="s">
        <v>429</v>
      </c>
      <c r="H72" s="138" t="s">
        <v>542</v>
      </c>
      <c r="I72" s="1"/>
      <c r="J72" s="15" t="s">
        <v>523</v>
      </c>
      <c r="K72" s="26" t="s">
        <v>435</v>
      </c>
      <c r="L72" t="s">
        <v>6</v>
      </c>
      <c r="M72" t="s">
        <v>7</v>
      </c>
      <c r="N72" s="22" t="s">
        <v>445</v>
      </c>
    </row>
    <row r="73" spans="1:14" x14ac:dyDescent="0.25">
      <c r="A73" s="67">
        <f t="shared" si="11"/>
        <v>62</v>
      </c>
      <c r="B73" s="68" t="s">
        <v>539</v>
      </c>
      <c r="C73" s="68"/>
      <c r="D73" s="111" t="s">
        <v>510</v>
      </c>
      <c r="E73" s="106" t="s">
        <v>487</v>
      </c>
      <c r="F73" s="106" t="s">
        <v>511</v>
      </c>
      <c r="G73" t="s">
        <v>541</v>
      </c>
      <c r="H73" s="133" t="s">
        <v>540</v>
      </c>
      <c r="I73" s="1"/>
      <c r="J73" s="14" t="s">
        <v>347</v>
      </c>
      <c r="K73" s="14" t="s">
        <v>382</v>
      </c>
      <c r="L73" t="s">
        <v>6</v>
      </c>
      <c r="M73" t="s">
        <v>7</v>
      </c>
      <c r="N73" s="22">
        <v>7</v>
      </c>
    </row>
    <row r="74" spans="1:14" x14ac:dyDescent="0.25">
      <c r="A74" s="72">
        <f>A73+1</f>
        <v>63</v>
      </c>
      <c r="D74" s="111" t="s">
        <v>510</v>
      </c>
      <c r="E74" s="106" t="s">
        <v>487</v>
      </c>
      <c r="F74" s="106" t="s">
        <v>511</v>
      </c>
      <c r="G74" s="26" t="s">
        <v>541</v>
      </c>
      <c r="H74" s="133" t="s">
        <v>540</v>
      </c>
      <c r="I74" s="1"/>
      <c r="J74" s="14" t="s">
        <v>395</v>
      </c>
      <c r="K74" s="14" t="s">
        <v>382</v>
      </c>
      <c r="L74" t="s">
        <v>6</v>
      </c>
      <c r="M74" t="s">
        <v>7</v>
      </c>
      <c r="N74" s="22"/>
    </row>
    <row r="75" spans="1:14" x14ac:dyDescent="0.25">
      <c r="A75" s="93"/>
      <c r="B75" s="35"/>
      <c r="C75" s="35"/>
      <c r="D75" s="8"/>
      <c r="E75" s="35"/>
      <c r="F75" s="35"/>
      <c r="G75" s="35"/>
      <c r="H75" s="132"/>
      <c r="I75" s="8" t="s">
        <v>477</v>
      </c>
      <c r="J75" s="35"/>
      <c r="K75" s="35"/>
      <c r="L75" s="35"/>
      <c r="M75" s="35"/>
      <c r="N75" s="95"/>
    </row>
    <row r="76" spans="1:14" x14ac:dyDescent="0.25">
      <c r="A76" s="72">
        <f>A74+1</f>
        <v>64</v>
      </c>
      <c r="B76" s="68" t="s">
        <v>539</v>
      </c>
      <c r="C76" s="69"/>
      <c r="D76" s="118" t="s">
        <v>429</v>
      </c>
      <c r="E76" s="119" t="s">
        <v>429</v>
      </c>
      <c r="F76" s="119" t="s">
        <v>429</v>
      </c>
      <c r="G76" s="119" t="s">
        <v>429</v>
      </c>
      <c r="H76" s="138" t="s">
        <v>542</v>
      </c>
      <c r="I76" s="1"/>
      <c r="J76" s="14" t="s">
        <v>189</v>
      </c>
      <c r="K76" t="s">
        <v>435</v>
      </c>
      <c r="L76" t="s">
        <v>6</v>
      </c>
      <c r="M76" t="s">
        <v>7</v>
      </c>
      <c r="N76" s="22" t="s">
        <v>369</v>
      </c>
    </row>
    <row r="77" spans="1:14" x14ac:dyDescent="0.25">
      <c r="A77" s="72">
        <f>A76+1</f>
        <v>65</v>
      </c>
      <c r="D77" s="112" t="s">
        <v>486</v>
      </c>
      <c r="E77" s="113" t="s">
        <v>487</v>
      </c>
      <c r="F77" s="113" t="s">
        <v>488</v>
      </c>
      <c r="G77" s="26" t="s">
        <v>525</v>
      </c>
      <c r="H77" s="133" t="s">
        <v>540</v>
      </c>
      <c r="I77" s="1"/>
      <c r="J77" s="14" t="s">
        <v>370</v>
      </c>
      <c r="K77" t="s">
        <v>420</v>
      </c>
      <c r="L77" t="s">
        <v>6</v>
      </c>
      <c r="M77" t="s">
        <v>7</v>
      </c>
      <c r="N77" s="22"/>
    </row>
    <row r="78" spans="1:14" x14ac:dyDescent="0.25">
      <c r="A78" s="72">
        <f t="shared" ref="A78:A80" si="12">A77+1</f>
        <v>66</v>
      </c>
      <c r="D78" s="112" t="s">
        <v>486</v>
      </c>
      <c r="E78" s="113" t="s">
        <v>487</v>
      </c>
      <c r="F78" s="113" t="s">
        <v>488</v>
      </c>
      <c r="G78" s="26" t="s">
        <v>529</v>
      </c>
      <c r="H78" s="133" t="s">
        <v>540</v>
      </c>
      <c r="I78" s="1"/>
      <c r="J78" s="14" t="s">
        <v>104</v>
      </c>
      <c r="K78" s="14" t="s">
        <v>381</v>
      </c>
      <c r="L78" t="s">
        <v>6</v>
      </c>
      <c r="M78" t="s">
        <v>7</v>
      </c>
      <c r="N78" s="22"/>
    </row>
    <row r="79" spans="1:14" x14ac:dyDescent="0.25">
      <c r="A79" s="72">
        <f t="shared" si="12"/>
        <v>67</v>
      </c>
      <c r="D79" s="105" t="s">
        <v>486</v>
      </c>
      <c r="E79" s="117" t="s">
        <v>487</v>
      </c>
      <c r="F79" s="123" t="s">
        <v>488</v>
      </c>
      <c r="G79" s="129" t="s">
        <v>517</v>
      </c>
      <c r="H79" s="133" t="s">
        <v>540</v>
      </c>
      <c r="I79" s="1"/>
      <c r="J79" s="14" t="s">
        <v>252</v>
      </c>
      <c r="K79" s="14" t="s">
        <v>383</v>
      </c>
      <c r="L79" t="s">
        <v>105</v>
      </c>
      <c r="M79" t="s">
        <v>7</v>
      </c>
      <c r="N79" s="22"/>
    </row>
    <row r="80" spans="1:14" x14ac:dyDescent="0.25">
      <c r="A80" s="72">
        <f t="shared" si="12"/>
        <v>68</v>
      </c>
      <c r="D80" s="105" t="s">
        <v>486</v>
      </c>
      <c r="E80" s="117" t="s">
        <v>487</v>
      </c>
      <c r="F80" s="123" t="s">
        <v>488</v>
      </c>
      <c r="G80" s="129" t="s">
        <v>517</v>
      </c>
      <c r="H80" s="131" t="s">
        <v>538</v>
      </c>
      <c r="I80" s="1"/>
      <c r="J80" s="14" t="s">
        <v>253</v>
      </c>
      <c r="K80" s="14" t="s">
        <v>381</v>
      </c>
      <c r="L80" t="s">
        <v>371</v>
      </c>
      <c r="M80" t="s">
        <v>7</v>
      </c>
      <c r="N80" s="22"/>
    </row>
    <row r="81" spans="1:14" x14ac:dyDescent="0.25">
      <c r="A81" s="93"/>
      <c r="B81" s="35"/>
      <c r="C81" s="35"/>
      <c r="D81" s="8"/>
      <c r="E81" s="35"/>
      <c r="F81" s="35"/>
      <c r="G81" s="35"/>
      <c r="H81" s="132"/>
      <c r="I81" s="91" t="s">
        <v>475</v>
      </c>
      <c r="J81" s="35"/>
      <c r="K81" s="35"/>
      <c r="L81" s="35"/>
      <c r="M81" s="35"/>
      <c r="N81" s="95"/>
    </row>
    <row r="82" spans="1:14" ht="16.5" customHeight="1" x14ac:dyDescent="0.25">
      <c r="A82" s="72">
        <f>A80+1</f>
        <v>69</v>
      </c>
      <c r="D82" s="118" t="s">
        <v>429</v>
      </c>
      <c r="E82" s="119" t="s">
        <v>429</v>
      </c>
      <c r="F82" s="119" t="s">
        <v>429</v>
      </c>
      <c r="G82" s="119" t="s">
        <v>429</v>
      </c>
      <c r="H82" s="138" t="s">
        <v>542</v>
      </c>
      <c r="I82" s="1"/>
      <c r="J82" s="14" t="s">
        <v>436</v>
      </c>
      <c r="K82" s="14" t="s">
        <v>383</v>
      </c>
      <c r="L82" t="s">
        <v>147</v>
      </c>
      <c r="M82" t="s">
        <v>7</v>
      </c>
      <c r="N82" s="53"/>
    </row>
    <row r="83" spans="1:14" x14ac:dyDescent="0.25">
      <c r="A83" s="72">
        <f t="shared" ref="A83:A84" si="13">A82+1</f>
        <v>70</v>
      </c>
      <c r="D83" s="105" t="s">
        <v>489</v>
      </c>
      <c r="E83" s="106" t="s">
        <v>495</v>
      </c>
      <c r="F83" s="117" t="s">
        <v>490</v>
      </c>
      <c r="G83" t="s">
        <v>530</v>
      </c>
      <c r="H83" s="131" t="s">
        <v>538</v>
      </c>
      <c r="I83" s="1"/>
      <c r="J83" s="15" t="s">
        <v>393</v>
      </c>
      <c r="K83" t="s">
        <v>420</v>
      </c>
      <c r="L83" t="s">
        <v>6</v>
      </c>
      <c r="M83" t="s">
        <v>7</v>
      </c>
      <c r="N83" s="53"/>
    </row>
    <row r="84" spans="1:14" x14ac:dyDescent="0.25">
      <c r="A84" s="72">
        <f t="shared" si="13"/>
        <v>71</v>
      </c>
      <c r="D84" s="105" t="s">
        <v>489</v>
      </c>
      <c r="E84" s="106" t="s">
        <v>487</v>
      </c>
      <c r="F84" s="106" t="s">
        <v>490</v>
      </c>
      <c r="G84" t="s">
        <v>401</v>
      </c>
      <c r="H84" s="133" t="s">
        <v>540</v>
      </c>
      <c r="I84" s="1"/>
      <c r="J84" s="14" t="s">
        <v>418</v>
      </c>
      <c r="K84" s="15" t="s">
        <v>419</v>
      </c>
      <c r="L84" t="s">
        <v>6</v>
      </c>
      <c r="M84" t="s">
        <v>7</v>
      </c>
      <c r="N84" s="43"/>
    </row>
    <row r="85" spans="1:14" x14ac:dyDescent="0.25">
      <c r="A85" s="93"/>
      <c r="B85" s="35"/>
      <c r="C85" s="35"/>
      <c r="D85" s="8"/>
      <c r="E85" s="35"/>
      <c r="F85" s="35"/>
      <c r="G85" s="35"/>
      <c r="H85" s="132"/>
      <c r="I85" s="91" t="s">
        <v>476</v>
      </c>
      <c r="J85" s="35"/>
      <c r="K85" s="34"/>
      <c r="L85" s="35"/>
      <c r="M85" s="35"/>
      <c r="N85" s="95"/>
    </row>
    <row r="86" spans="1:14" ht="15" customHeight="1" x14ac:dyDescent="0.25">
      <c r="A86" s="72">
        <f>A84+1</f>
        <v>72</v>
      </c>
      <c r="B86" s="68" t="s">
        <v>539</v>
      </c>
      <c r="C86" s="92" t="s">
        <v>527</v>
      </c>
      <c r="D86" s="118" t="s">
        <v>429</v>
      </c>
      <c r="E86" s="119" t="s">
        <v>429</v>
      </c>
      <c r="F86" s="119" t="s">
        <v>429</v>
      </c>
      <c r="G86" s="119" t="s">
        <v>429</v>
      </c>
      <c r="H86" s="138" t="s">
        <v>542</v>
      </c>
      <c r="I86" s="1"/>
      <c r="J86" s="14" t="s">
        <v>406</v>
      </c>
      <c r="K86" s="14" t="s">
        <v>382</v>
      </c>
      <c r="L86" t="s">
        <v>373</v>
      </c>
      <c r="M86" t="s">
        <v>7</v>
      </c>
      <c r="N86" s="43">
        <v>35</v>
      </c>
    </row>
    <row r="87" spans="1:14" ht="15" customHeight="1" x14ac:dyDescent="0.25">
      <c r="A87" s="72">
        <f>A86+1</f>
        <v>73</v>
      </c>
      <c r="D87" s="112" t="s">
        <v>489</v>
      </c>
      <c r="E87" s="113" t="s">
        <v>487</v>
      </c>
      <c r="F87" s="113" t="s">
        <v>490</v>
      </c>
      <c r="G87" t="s">
        <v>494</v>
      </c>
      <c r="H87" s="131" t="s">
        <v>538</v>
      </c>
      <c r="I87" s="1"/>
      <c r="J87" s="15" t="s">
        <v>558</v>
      </c>
      <c r="K87" t="s">
        <v>420</v>
      </c>
      <c r="L87" t="s">
        <v>6</v>
      </c>
      <c r="M87" t="s">
        <v>7</v>
      </c>
      <c r="N87" s="45" t="s">
        <v>346</v>
      </c>
    </row>
    <row r="88" spans="1:14" ht="15" customHeight="1" x14ac:dyDescent="0.25">
      <c r="A88" s="72">
        <f t="shared" ref="A88:A92" si="14">A87+1</f>
        <v>74</v>
      </c>
      <c r="D88" s="112" t="s">
        <v>489</v>
      </c>
      <c r="E88" s="113" t="s">
        <v>487</v>
      </c>
      <c r="F88" s="113" t="s">
        <v>490</v>
      </c>
      <c r="G88" t="s">
        <v>494</v>
      </c>
      <c r="H88" s="131" t="s">
        <v>538</v>
      </c>
      <c r="I88" s="1"/>
      <c r="J88" s="15" t="s">
        <v>551</v>
      </c>
      <c r="K88" s="15" t="s">
        <v>552</v>
      </c>
      <c r="L88" t="s">
        <v>6</v>
      </c>
      <c r="M88" t="s">
        <v>7</v>
      </c>
      <c r="N88" s="45" t="s">
        <v>532</v>
      </c>
    </row>
    <row r="89" spans="1:14" ht="15" customHeight="1" x14ac:dyDescent="0.25">
      <c r="A89" s="72">
        <f t="shared" si="14"/>
        <v>75</v>
      </c>
      <c r="D89" s="105" t="s">
        <v>489</v>
      </c>
      <c r="E89" s="106" t="s">
        <v>487</v>
      </c>
      <c r="F89" s="106" t="s">
        <v>490</v>
      </c>
      <c r="G89" t="s">
        <v>554</v>
      </c>
      <c r="H89" s="131" t="s">
        <v>538</v>
      </c>
      <c r="I89" s="1"/>
      <c r="J89" s="15" t="s">
        <v>555</v>
      </c>
      <c r="K89" t="s">
        <v>420</v>
      </c>
      <c r="L89" t="s">
        <v>6</v>
      </c>
      <c r="M89" t="s">
        <v>7</v>
      </c>
      <c r="N89" s="45" t="s">
        <v>169</v>
      </c>
    </row>
    <row r="90" spans="1:14" ht="15" customHeight="1" x14ac:dyDescent="0.25">
      <c r="A90" s="72">
        <f t="shared" si="14"/>
        <v>76</v>
      </c>
      <c r="D90" s="105" t="s">
        <v>489</v>
      </c>
      <c r="E90" s="106" t="s">
        <v>487</v>
      </c>
      <c r="F90" s="106" t="s">
        <v>490</v>
      </c>
      <c r="G90" t="s">
        <v>554</v>
      </c>
      <c r="H90" s="131" t="s">
        <v>538</v>
      </c>
      <c r="I90" s="1"/>
      <c r="J90" s="15" t="s">
        <v>559</v>
      </c>
      <c r="K90" s="15" t="s">
        <v>560</v>
      </c>
      <c r="L90" t="s">
        <v>6</v>
      </c>
      <c r="M90" t="s">
        <v>7</v>
      </c>
      <c r="N90" s="45"/>
    </row>
    <row r="91" spans="1:14" ht="15" customHeight="1" x14ac:dyDescent="0.25">
      <c r="A91" s="72">
        <f t="shared" si="14"/>
        <v>77</v>
      </c>
      <c r="D91" s="111" t="s">
        <v>515</v>
      </c>
      <c r="E91" s="106" t="s">
        <v>493</v>
      </c>
      <c r="F91" s="106" t="s">
        <v>488</v>
      </c>
      <c r="G91" t="s">
        <v>531</v>
      </c>
      <c r="H91" s="131" t="s">
        <v>538</v>
      </c>
      <c r="I91" s="1"/>
      <c r="J91" s="15" t="s">
        <v>556</v>
      </c>
      <c r="K91" t="s">
        <v>420</v>
      </c>
      <c r="L91" t="s">
        <v>6</v>
      </c>
      <c r="M91" t="s">
        <v>7</v>
      </c>
      <c r="N91" s="45" t="s">
        <v>346</v>
      </c>
    </row>
    <row r="92" spans="1:14" ht="15" customHeight="1" x14ac:dyDescent="0.25">
      <c r="A92" s="72">
        <f t="shared" si="14"/>
        <v>78</v>
      </c>
      <c r="D92" s="111" t="s">
        <v>515</v>
      </c>
      <c r="E92" s="106" t="s">
        <v>493</v>
      </c>
      <c r="F92" s="106" t="s">
        <v>488</v>
      </c>
      <c r="G92" t="s">
        <v>531</v>
      </c>
      <c r="H92" s="131" t="s">
        <v>538</v>
      </c>
      <c r="I92" s="1"/>
      <c r="J92" s="15" t="s">
        <v>557</v>
      </c>
      <c r="K92" s="15" t="s">
        <v>561</v>
      </c>
      <c r="L92" t="s">
        <v>6</v>
      </c>
      <c r="M92" t="s">
        <v>7</v>
      </c>
      <c r="N92" s="45" t="s">
        <v>532</v>
      </c>
    </row>
    <row r="93" spans="1:14" x14ac:dyDescent="0.25">
      <c r="A93" s="125"/>
      <c r="B93" s="54" t="s">
        <v>405</v>
      </c>
      <c r="C93" s="54"/>
      <c r="D93" s="126"/>
      <c r="E93" s="54"/>
      <c r="F93" s="54"/>
      <c r="G93" s="54"/>
      <c r="H93" s="133"/>
      <c r="I93" s="126"/>
      <c r="J93" s="127"/>
      <c r="K93" s="127"/>
      <c r="L93" s="54"/>
      <c r="M93" s="54"/>
      <c r="N93" s="128"/>
    </row>
    <row r="94" spans="1:14" x14ac:dyDescent="0.25">
      <c r="A94" s="75"/>
      <c r="B94" s="76"/>
      <c r="C94" s="76"/>
      <c r="D94" s="77"/>
      <c r="E94" s="76"/>
      <c r="F94" s="76"/>
      <c r="G94" s="76"/>
      <c r="H94" s="134"/>
      <c r="I94" s="124" t="s">
        <v>534</v>
      </c>
      <c r="J94" s="76"/>
      <c r="K94" s="76"/>
      <c r="L94" s="76"/>
      <c r="M94" s="76"/>
      <c r="N94" s="78"/>
    </row>
    <row r="95" spans="1:14" x14ac:dyDescent="0.25">
      <c r="A95" s="79"/>
      <c r="B95" s="80"/>
      <c r="C95" s="80"/>
      <c r="D95" s="114" t="s">
        <v>489</v>
      </c>
      <c r="E95" s="115" t="s">
        <v>487</v>
      </c>
      <c r="F95" s="116" t="s">
        <v>490</v>
      </c>
      <c r="G95" s="80" t="s">
        <v>402</v>
      </c>
      <c r="H95" s="135"/>
      <c r="I95" s="81"/>
      <c r="J95" s="82" t="s">
        <v>350</v>
      </c>
      <c r="K95" s="82" t="s">
        <v>383</v>
      </c>
      <c r="L95" s="80" t="s">
        <v>86</v>
      </c>
      <c r="M95" s="80" t="s">
        <v>7</v>
      </c>
      <c r="N95" s="43"/>
    </row>
    <row r="96" spans="1:14" x14ac:dyDescent="0.25">
      <c r="A96" s="79"/>
      <c r="B96" s="83"/>
      <c r="C96" s="83"/>
      <c r="D96" s="114" t="s">
        <v>486</v>
      </c>
      <c r="E96" s="115" t="s">
        <v>493</v>
      </c>
      <c r="F96" s="116" t="s">
        <v>488</v>
      </c>
      <c r="G96" s="80" t="s">
        <v>496</v>
      </c>
      <c r="H96" s="135"/>
      <c r="I96" s="81"/>
      <c r="J96" s="82" t="s">
        <v>349</v>
      </c>
      <c r="K96" s="82" t="s">
        <v>383</v>
      </c>
      <c r="L96" s="80" t="s">
        <v>86</v>
      </c>
      <c r="M96" s="80" t="s">
        <v>7</v>
      </c>
      <c r="N96" s="43"/>
    </row>
    <row r="97" spans="1:14" x14ac:dyDescent="0.25">
      <c r="A97" s="79"/>
      <c r="B97" s="80"/>
      <c r="C97" s="80"/>
      <c r="D97" s="81"/>
      <c r="E97" s="80"/>
      <c r="F97" s="80"/>
      <c r="G97" s="80"/>
      <c r="H97" s="135"/>
      <c r="I97" s="81"/>
      <c r="J97" s="82" t="s">
        <v>114</v>
      </c>
      <c r="K97" s="82" t="s">
        <v>76</v>
      </c>
      <c r="L97" s="80" t="s">
        <v>76</v>
      </c>
      <c r="M97" s="80" t="s">
        <v>7</v>
      </c>
      <c r="N97" s="43"/>
    </row>
    <row r="98" spans="1:14" x14ac:dyDescent="0.25">
      <c r="A98" s="79"/>
      <c r="B98" s="80"/>
      <c r="C98" s="80"/>
      <c r="D98" s="81"/>
      <c r="E98" s="80"/>
      <c r="F98" s="80"/>
      <c r="G98" s="80"/>
      <c r="H98" s="135"/>
      <c r="I98" s="81"/>
      <c r="J98" s="80" t="s">
        <v>115</v>
      </c>
      <c r="K98" s="80" t="s">
        <v>76</v>
      </c>
      <c r="L98" s="80" t="s">
        <v>76</v>
      </c>
      <c r="M98" s="80" t="s">
        <v>7</v>
      </c>
      <c r="N98" s="43"/>
    </row>
    <row r="99" spans="1:14" x14ac:dyDescent="0.25">
      <c r="A99" s="75"/>
      <c r="B99" s="76"/>
      <c r="C99" s="76"/>
      <c r="D99" s="77"/>
      <c r="E99" s="76"/>
      <c r="F99" s="76"/>
      <c r="G99" s="130"/>
      <c r="H99" s="136"/>
      <c r="I99" s="124" t="s">
        <v>478</v>
      </c>
      <c r="J99" s="76"/>
      <c r="K99" s="76"/>
      <c r="L99" s="76"/>
      <c r="M99" s="76"/>
      <c r="N99" s="78"/>
    </row>
    <row r="100" spans="1:14" x14ac:dyDescent="0.25">
      <c r="A100" s="79"/>
      <c r="B100" s="80"/>
      <c r="C100" s="80"/>
      <c r="D100" s="81"/>
      <c r="E100" s="80"/>
      <c r="F100" s="80"/>
      <c r="G100" s="80"/>
      <c r="H100" s="135"/>
      <c r="I100" s="81"/>
      <c r="J100" s="82" t="s">
        <v>241</v>
      </c>
      <c r="K100" s="80" t="s">
        <v>381</v>
      </c>
      <c r="L100" s="80" t="s">
        <v>6</v>
      </c>
      <c r="M100" s="80" t="s">
        <v>7</v>
      </c>
      <c r="N100" s="50" t="s">
        <v>339</v>
      </c>
    </row>
    <row r="101" spans="1:14" x14ac:dyDescent="0.25">
      <c r="A101" s="79"/>
      <c r="B101" s="84"/>
      <c r="C101" s="84"/>
      <c r="D101" s="109"/>
      <c r="E101" s="84"/>
      <c r="F101" s="84"/>
      <c r="G101" s="80"/>
      <c r="H101" s="135"/>
      <c r="I101" s="81"/>
      <c r="J101" s="82" t="s">
        <v>238</v>
      </c>
      <c r="K101" s="80" t="s">
        <v>381</v>
      </c>
      <c r="L101" s="80" t="s">
        <v>6</v>
      </c>
      <c r="M101" s="80" t="s">
        <v>7</v>
      </c>
      <c r="N101" s="50">
        <v>34933662100</v>
      </c>
    </row>
    <row r="102" spans="1:14" x14ac:dyDescent="0.25">
      <c r="A102" s="79"/>
      <c r="B102" s="85"/>
      <c r="C102" s="85"/>
      <c r="D102" s="110"/>
      <c r="E102" s="85"/>
      <c r="F102" s="85"/>
      <c r="G102" s="80"/>
      <c r="H102" s="135"/>
      <c r="I102" s="81"/>
      <c r="J102" s="82" t="s">
        <v>239</v>
      </c>
      <c r="K102" s="80" t="s">
        <v>381</v>
      </c>
      <c r="L102" s="80" t="s">
        <v>6</v>
      </c>
      <c r="M102" s="80" t="s">
        <v>7</v>
      </c>
      <c r="N102" s="50"/>
    </row>
    <row r="103" spans="1:14" x14ac:dyDescent="0.25">
      <c r="A103" s="79"/>
      <c r="B103" s="85"/>
      <c r="C103" s="85"/>
      <c r="D103" s="110"/>
      <c r="E103" s="85"/>
      <c r="F103" s="85"/>
      <c r="G103" s="80"/>
      <c r="H103" s="135"/>
      <c r="I103" s="81"/>
      <c r="J103" s="82" t="s">
        <v>240</v>
      </c>
      <c r="K103" s="80" t="s">
        <v>381</v>
      </c>
      <c r="L103" s="80" t="s">
        <v>6</v>
      </c>
      <c r="M103" s="80" t="s">
        <v>7</v>
      </c>
      <c r="N103" s="24" t="s">
        <v>368</v>
      </c>
    </row>
    <row r="104" spans="1:14" x14ac:dyDescent="0.25">
      <c r="A104" s="79"/>
      <c r="B104" s="80"/>
      <c r="C104" s="80"/>
      <c r="D104" s="81"/>
      <c r="E104" s="80"/>
      <c r="F104" s="80"/>
      <c r="G104" s="80"/>
      <c r="H104" s="135"/>
      <c r="I104" s="81"/>
      <c r="J104" s="82" t="s">
        <v>74</v>
      </c>
      <c r="K104" s="80" t="s">
        <v>381</v>
      </c>
      <c r="L104" s="80" t="s">
        <v>6</v>
      </c>
      <c r="M104" s="80" t="s">
        <v>7</v>
      </c>
      <c r="N104" s="22"/>
    </row>
    <row r="105" spans="1:14" x14ac:dyDescent="0.25">
      <c r="A105" s="79"/>
      <c r="B105" s="80"/>
      <c r="C105" s="80"/>
      <c r="D105" s="81"/>
      <c r="E105" s="80"/>
      <c r="F105" s="80"/>
      <c r="G105" s="80"/>
      <c r="H105" s="135"/>
      <c r="I105" s="81"/>
      <c r="J105" s="82" t="s">
        <v>242</v>
      </c>
      <c r="K105" s="80" t="s">
        <v>381</v>
      </c>
      <c r="L105" s="80" t="s">
        <v>6</v>
      </c>
      <c r="M105" s="80" t="s">
        <v>7</v>
      </c>
      <c r="N105" s="22"/>
    </row>
    <row r="106" spans="1:14" x14ac:dyDescent="0.25">
      <c r="A106" s="79"/>
      <c r="B106" s="80"/>
      <c r="C106" s="80"/>
      <c r="D106" s="81"/>
      <c r="E106" s="80"/>
      <c r="F106" s="80"/>
      <c r="G106" s="80"/>
      <c r="H106" s="135"/>
      <c r="I106" s="81"/>
      <c r="J106" s="82" t="s">
        <v>243</v>
      </c>
      <c r="K106" s="80" t="s">
        <v>381</v>
      </c>
      <c r="L106" s="80" t="s">
        <v>6</v>
      </c>
      <c r="M106" s="80" t="s">
        <v>7</v>
      </c>
      <c r="N106" s="51"/>
    </row>
    <row r="107" spans="1:14" ht="15.75" thickBot="1" x14ac:dyDescent="0.3">
      <c r="A107" s="86"/>
      <c r="B107" s="87"/>
      <c r="C107" s="87"/>
      <c r="D107" s="88"/>
      <c r="E107" s="87"/>
      <c r="F107" s="87"/>
      <c r="G107" s="87"/>
      <c r="H107" s="137"/>
      <c r="I107" s="88"/>
      <c r="J107" s="89" t="s">
        <v>244</v>
      </c>
      <c r="K107" s="87" t="s">
        <v>381</v>
      </c>
      <c r="L107" s="87" t="s">
        <v>6</v>
      </c>
      <c r="M107" s="87" t="s">
        <v>7</v>
      </c>
      <c r="N107" s="101"/>
    </row>
    <row r="108" spans="1:14" x14ac:dyDescent="0.25">
      <c r="J108" s="18"/>
      <c r="K108" s="18"/>
    </row>
    <row r="117" spans="14:14" x14ac:dyDescent="0.25">
      <c r="N117" s="55"/>
    </row>
    <row r="207" spans="10:11" x14ac:dyDescent="0.25">
      <c r="J207" s="7" t="s">
        <v>19</v>
      </c>
      <c r="K207" s="7"/>
    </row>
    <row r="208" spans="10:11" x14ac:dyDescent="0.25">
      <c r="J208" t="s">
        <v>5</v>
      </c>
    </row>
    <row r="209" spans="10:11" x14ac:dyDescent="0.25">
      <c r="J209" t="s">
        <v>116</v>
      </c>
    </row>
    <row r="210" spans="10:11" x14ac:dyDescent="0.25">
      <c r="J210" t="s">
        <v>117</v>
      </c>
    </row>
    <row r="211" spans="10:11" x14ac:dyDescent="0.25">
      <c r="J211" t="s">
        <v>118</v>
      </c>
    </row>
    <row r="212" spans="10:11" x14ac:dyDescent="0.25">
      <c r="J212" t="s">
        <v>119</v>
      </c>
    </row>
    <row r="213" spans="10:11" x14ac:dyDescent="0.25">
      <c r="J213" t="s">
        <v>120</v>
      </c>
    </row>
    <row r="214" spans="10:11" x14ac:dyDescent="0.25">
      <c r="J214" t="s">
        <v>121</v>
      </c>
    </row>
    <row r="215" spans="10:11" x14ac:dyDescent="0.25">
      <c r="J215" t="s">
        <v>122</v>
      </c>
    </row>
    <row r="216" spans="10:11" x14ac:dyDescent="0.25">
      <c r="J216" t="s">
        <v>123</v>
      </c>
    </row>
    <row r="217" spans="10:11" x14ac:dyDescent="0.25">
      <c r="J217" t="s">
        <v>124</v>
      </c>
    </row>
    <row r="218" spans="10:11" x14ac:dyDescent="0.25">
      <c r="J218" t="s">
        <v>125</v>
      </c>
    </row>
    <row r="221" spans="10:11" x14ac:dyDescent="0.25">
      <c r="J221" s="6" t="s">
        <v>38</v>
      </c>
      <c r="K221" s="6"/>
    </row>
    <row r="222" spans="10:11" x14ac:dyDescent="0.25">
      <c r="J222" t="s">
        <v>126</v>
      </c>
    </row>
    <row r="223" spans="10:11" x14ac:dyDescent="0.25">
      <c r="J223" t="s">
        <v>127</v>
      </c>
    </row>
    <row r="224" spans="10:11" x14ac:dyDescent="0.25">
      <c r="J224" t="s">
        <v>128</v>
      </c>
    </row>
    <row r="227" spans="10:11" x14ac:dyDescent="0.25">
      <c r="J227" s="6" t="s">
        <v>129</v>
      </c>
      <c r="K227" s="6"/>
    </row>
    <row r="228" spans="10:11" x14ac:dyDescent="0.25">
      <c r="J228" t="s">
        <v>130</v>
      </c>
    </row>
    <row r="229" spans="10:11" x14ac:dyDescent="0.25">
      <c r="J229" t="s">
        <v>131</v>
      </c>
    </row>
    <row r="230" spans="10:11" x14ac:dyDescent="0.25">
      <c r="J230" t="s">
        <v>132</v>
      </c>
    </row>
    <row r="233" spans="10:11" x14ac:dyDescent="0.25">
      <c r="J233" s="6" t="s">
        <v>81</v>
      </c>
      <c r="K233" s="6"/>
    </row>
    <row r="234" spans="10:11" x14ac:dyDescent="0.25">
      <c r="J234" t="s">
        <v>133</v>
      </c>
    </row>
    <row r="235" spans="10:11" x14ac:dyDescent="0.25">
      <c r="J235" t="s">
        <v>134</v>
      </c>
    </row>
    <row r="236" spans="10:11" x14ac:dyDescent="0.25">
      <c r="J236" t="s">
        <v>135</v>
      </c>
    </row>
    <row r="237" spans="10:11" x14ac:dyDescent="0.25">
      <c r="J237" t="s">
        <v>136</v>
      </c>
    </row>
    <row r="239" spans="10:11" x14ac:dyDescent="0.25">
      <c r="J239" s="6" t="s">
        <v>82</v>
      </c>
      <c r="K239" s="6"/>
    </row>
    <row r="240" spans="10:11" x14ac:dyDescent="0.25">
      <c r="J240" t="s">
        <v>137</v>
      </c>
    </row>
    <row r="241" spans="10:11" x14ac:dyDescent="0.25">
      <c r="J241" t="s">
        <v>138</v>
      </c>
    </row>
    <row r="242" spans="10:11" x14ac:dyDescent="0.25">
      <c r="J242" t="s">
        <v>139</v>
      </c>
    </row>
    <row r="243" spans="10:11" x14ac:dyDescent="0.25">
      <c r="J243" t="s">
        <v>140</v>
      </c>
    </row>
    <row r="245" spans="10:11" x14ac:dyDescent="0.25">
      <c r="J245" s="6" t="s">
        <v>83</v>
      </c>
      <c r="K245" s="6"/>
    </row>
    <row r="246" spans="10:11" x14ac:dyDescent="0.25">
      <c r="J246" t="s">
        <v>141</v>
      </c>
    </row>
    <row r="247" spans="10:11" x14ac:dyDescent="0.25">
      <c r="J247" t="s">
        <v>142</v>
      </c>
    </row>
    <row r="248" spans="10:11" x14ac:dyDescent="0.25">
      <c r="J248" t="s">
        <v>143</v>
      </c>
    </row>
    <row r="249" spans="10:11" x14ac:dyDescent="0.25">
      <c r="J249" t="s">
        <v>144</v>
      </c>
    </row>
    <row r="252" spans="10:11" x14ac:dyDescent="0.25">
      <c r="J252" s="6" t="s">
        <v>84</v>
      </c>
      <c r="K252" s="6"/>
    </row>
    <row r="253" spans="10:11" x14ac:dyDescent="0.25">
      <c r="J253" t="s">
        <v>145</v>
      </c>
    </row>
    <row r="254" spans="10:11" x14ac:dyDescent="0.25">
      <c r="J254" t="s">
        <v>146</v>
      </c>
    </row>
    <row r="256" spans="10:11" x14ac:dyDescent="0.25">
      <c r="J256" s="6" t="s">
        <v>87</v>
      </c>
      <c r="K256" s="6"/>
    </row>
    <row r="257" spans="10:11" x14ac:dyDescent="0.25">
      <c r="J257" t="s">
        <v>93</v>
      </c>
    </row>
    <row r="258" spans="10:11" x14ac:dyDescent="0.25">
      <c r="J258" t="s">
        <v>95</v>
      </c>
    </row>
    <row r="259" spans="10:11" x14ac:dyDescent="0.25">
      <c r="J259" t="s">
        <v>97</v>
      </c>
    </row>
    <row r="262" spans="10:11" x14ac:dyDescent="0.25">
      <c r="J262" s="6" t="s">
        <v>93</v>
      </c>
      <c r="K262" s="6"/>
    </row>
    <row r="263" spans="10:11" x14ac:dyDescent="0.25">
      <c r="J263" t="s">
        <v>94</v>
      </c>
    </row>
    <row r="264" spans="10:11" x14ac:dyDescent="0.25">
      <c r="J264" t="s">
        <v>96</v>
      </c>
    </row>
    <row r="265" spans="10:11" x14ac:dyDescent="0.25">
      <c r="J265" t="s">
        <v>98</v>
      </c>
    </row>
    <row r="266" spans="10:11" x14ac:dyDescent="0.25">
      <c r="J266" s="6" t="s">
        <v>95</v>
      </c>
      <c r="K266" s="6"/>
    </row>
    <row r="267" spans="10:11" x14ac:dyDescent="0.25">
      <c r="J267" t="s">
        <v>94</v>
      </c>
    </row>
    <row r="268" spans="10:11" x14ac:dyDescent="0.25">
      <c r="J268" t="s">
        <v>96</v>
      </c>
    </row>
    <row r="269" spans="10:11" x14ac:dyDescent="0.25">
      <c r="J269" t="s">
        <v>98</v>
      </c>
    </row>
    <row r="270" spans="10:11" x14ac:dyDescent="0.25">
      <c r="J270" s="6" t="s">
        <v>97</v>
      </c>
      <c r="K270" s="6"/>
    </row>
    <row r="271" spans="10:11" x14ac:dyDescent="0.25">
      <c r="J271" t="s">
        <v>94</v>
      </c>
    </row>
    <row r="272" spans="10:11" x14ac:dyDescent="0.25">
      <c r="J272" t="s">
        <v>96</v>
      </c>
    </row>
    <row r="273" spans="10:10" x14ac:dyDescent="0.25">
      <c r="J273" t="s">
        <v>98</v>
      </c>
    </row>
  </sheetData>
  <mergeCells count="3">
    <mergeCell ref="B1:N1"/>
    <mergeCell ref="C2:C3"/>
    <mergeCell ref="D2:H2"/>
  </mergeCells>
  <dataValidations count="1">
    <dataValidation type="list" allowBlank="1" showInputMessage="1" showErrorMessage="1" sqref="D54:E54 D30:E36 D38:E38 D63:E64" xr:uid="{A9D3C295-90B9-4B19-9A6E-4001780B43E3}">
      <formula1>#REF!</formula1>
    </dataValidation>
  </dataValidations>
  <hyperlinks>
    <hyperlink ref="N103" r:id="rId1" xr:uid="{F5AA628B-93F5-4788-9F62-B80702C19D62}"/>
    <hyperlink ref="N6" r:id="rId2" xr:uid="{31CA7BAA-D747-422F-8BA0-80A54EE33D7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10EA-D7DD-4025-A93B-240541D3A0D0}">
  <dimension ref="A1:N285"/>
  <sheetViews>
    <sheetView zoomScale="85" zoomScaleNormal="85" workbookViewId="0">
      <pane xSplit="10" ySplit="3" topLeftCell="N4" activePane="bottomRight" state="frozen"/>
      <selection pane="topRight" activeCell="C1" sqref="C1"/>
      <selection pane="bottomLeft" activeCell="A3" sqref="A3"/>
      <selection pane="bottomRight" activeCell="O1" sqref="O1:O1048576"/>
    </sheetView>
  </sheetViews>
  <sheetFormatPr baseColWidth="10" defaultColWidth="9.140625" defaultRowHeight="15" x14ac:dyDescent="0.25"/>
  <cols>
    <col min="1" max="1" width="3.140625" style="67" customWidth="1"/>
    <col min="2" max="2" width="11.5703125" bestFit="1" customWidth="1"/>
    <col min="3" max="6" width="5.42578125" customWidth="1"/>
    <col min="7" max="7" width="34.42578125" customWidth="1"/>
    <col min="8" max="8" width="9.140625" style="67" customWidth="1"/>
    <col min="9" max="9" width="3.28515625" customWidth="1"/>
    <col min="10" max="10" width="78.7109375" customWidth="1"/>
    <col min="11" max="11" width="32.42578125" customWidth="1"/>
    <col min="12" max="12" width="14.42578125" customWidth="1"/>
    <col min="13" max="13" width="43.42578125" customWidth="1"/>
    <col min="14" max="14" width="71" style="13" customWidth="1"/>
  </cols>
  <sheetData>
    <row r="1" spans="1:14" ht="15.75" thickBot="1" x14ac:dyDescent="0.3">
      <c r="A1" s="66"/>
      <c r="B1" s="146" t="s">
        <v>503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</row>
    <row r="2" spans="1:14" ht="15" customHeight="1" x14ac:dyDescent="0.25">
      <c r="A2" s="57"/>
      <c r="B2" s="56"/>
      <c r="C2" s="147" t="s">
        <v>412</v>
      </c>
      <c r="D2" s="148" t="s">
        <v>512</v>
      </c>
      <c r="E2" s="149"/>
      <c r="F2" s="149"/>
      <c r="G2" s="149"/>
      <c r="H2" s="150"/>
      <c r="I2" s="9" t="s">
        <v>497</v>
      </c>
      <c r="J2" s="10"/>
      <c r="K2" s="10"/>
      <c r="L2" s="10"/>
      <c r="M2" s="10"/>
      <c r="N2" s="58" t="s">
        <v>498</v>
      </c>
    </row>
    <row r="3" spans="1:14" x14ac:dyDescent="0.25">
      <c r="A3" s="57" t="s">
        <v>396</v>
      </c>
      <c r="B3" s="57" t="s">
        <v>372</v>
      </c>
      <c r="C3" s="147"/>
      <c r="D3" s="71" t="s">
        <v>336</v>
      </c>
      <c r="E3" s="104" t="s">
        <v>483</v>
      </c>
      <c r="F3" s="104" t="s">
        <v>484</v>
      </c>
      <c r="G3" s="57" t="s">
        <v>513</v>
      </c>
      <c r="H3" s="107" t="s">
        <v>537</v>
      </c>
      <c r="I3" s="8"/>
      <c r="J3" s="11" t="s">
        <v>506</v>
      </c>
      <c r="K3" s="11" t="s">
        <v>508</v>
      </c>
      <c r="L3" s="11" t="s">
        <v>507</v>
      </c>
      <c r="M3" s="11" t="s">
        <v>509</v>
      </c>
      <c r="N3" s="41" t="s">
        <v>499</v>
      </c>
    </row>
    <row r="4" spans="1:14" x14ac:dyDescent="0.25">
      <c r="A4" s="90"/>
      <c r="B4" s="35"/>
      <c r="C4" s="35"/>
      <c r="D4" s="8"/>
      <c r="E4" s="35"/>
      <c r="F4" s="35"/>
      <c r="G4" s="35"/>
      <c r="H4" s="132"/>
      <c r="I4" s="8" t="s">
        <v>470</v>
      </c>
      <c r="J4" s="34"/>
      <c r="K4" s="34"/>
      <c r="L4" s="35"/>
      <c r="M4" s="35"/>
      <c r="N4" s="94"/>
    </row>
    <row r="5" spans="1:14" x14ac:dyDescent="0.25">
      <c r="A5" s="72">
        <v>1</v>
      </c>
      <c r="B5" s="68" t="s">
        <v>539</v>
      </c>
      <c r="C5" s="68"/>
      <c r="D5" s="118" t="s">
        <v>429</v>
      </c>
      <c r="E5" s="119" t="s">
        <v>429</v>
      </c>
      <c r="F5" s="119" t="s">
        <v>429</v>
      </c>
      <c r="G5" s="119" t="s">
        <v>429</v>
      </c>
      <c r="H5" s="138" t="s">
        <v>542</v>
      </c>
      <c r="I5" s="1"/>
      <c r="J5" t="s">
        <v>424</v>
      </c>
      <c r="K5" s="27" t="s">
        <v>425</v>
      </c>
      <c r="L5" t="s">
        <v>6</v>
      </c>
      <c r="M5" t="s">
        <v>7</v>
      </c>
      <c r="N5" s="43" t="s">
        <v>187</v>
      </c>
    </row>
    <row r="6" spans="1:14" ht="15" customHeight="1" x14ac:dyDescent="0.25">
      <c r="A6" s="67">
        <f>A5+1</f>
        <v>2</v>
      </c>
      <c r="B6" s="68" t="s">
        <v>539</v>
      </c>
      <c r="C6" s="17"/>
      <c r="D6" s="118" t="s">
        <v>429</v>
      </c>
      <c r="E6" s="119" t="s">
        <v>429</v>
      </c>
      <c r="F6" s="119" t="s">
        <v>429</v>
      </c>
      <c r="G6" s="119" t="s">
        <v>429</v>
      </c>
      <c r="H6" s="138" t="s">
        <v>542</v>
      </c>
      <c r="I6" s="122"/>
      <c r="J6" s="26" t="s">
        <v>526</v>
      </c>
      <c r="K6" s="64" t="s">
        <v>524</v>
      </c>
      <c r="L6" s="26" t="s">
        <v>6</v>
      </c>
      <c r="M6" s="26" t="s">
        <v>7</v>
      </c>
      <c r="N6" s="48" t="s">
        <v>599</v>
      </c>
    </row>
    <row r="7" spans="1:14" x14ac:dyDescent="0.25">
      <c r="A7" s="96">
        <f>A6+1</f>
        <v>3</v>
      </c>
      <c r="B7" s="97" t="s">
        <v>539</v>
      </c>
      <c r="C7" s="98"/>
      <c r="D7" s="120" t="s">
        <v>429</v>
      </c>
      <c r="E7" s="121" t="s">
        <v>429</v>
      </c>
      <c r="F7" s="121" t="s">
        <v>429</v>
      </c>
      <c r="G7" s="121" t="s">
        <v>429</v>
      </c>
      <c r="H7" s="138" t="s">
        <v>542</v>
      </c>
      <c r="I7" s="81"/>
      <c r="J7" s="80" t="s">
        <v>0</v>
      </c>
      <c r="K7" s="99" t="s">
        <v>421</v>
      </c>
      <c r="L7" s="80" t="s">
        <v>6</v>
      </c>
      <c r="M7" s="80" t="s">
        <v>7</v>
      </c>
      <c r="N7" s="45" t="s">
        <v>352</v>
      </c>
    </row>
    <row r="8" spans="1:14" x14ac:dyDescent="0.25">
      <c r="A8" s="96">
        <f t="shared" ref="A8:A15" si="0">A7+1</f>
        <v>4</v>
      </c>
      <c r="B8" s="97" t="s">
        <v>539</v>
      </c>
      <c r="C8" s="98"/>
      <c r="D8" s="120" t="s">
        <v>429</v>
      </c>
      <c r="E8" s="121" t="s">
        <v>429</v>
      </c>
      <c r="F8" s="121" t="s">
        <v>429</v>
      </c>
      <c r="G8" s="121" t="s">
        <v>429</v>
      </c>
      <c r="H8" s="138" t="s">
        <v>542</v>
      </c>
      <c r="I8" s="81"/>
      <c r="J8" s="80" t="s">
        <v>184</v>
      </c>
      <c r="K8" s="99" t="s">
        <v>421</v>
      </c>
      <c r="L8" s="80" t="s">
        <v>6</v>
      </c>
      <c r="M8" s="80" t="s">
        <v>7</v>
      </c>
      <c r="N8" s="45" t="s">
        <v>353</v>
      </c>
    </row>
    <row r="9" spans="1:14" x14ac:dyDescent="0.25">
      <c r="A9" s="67">
        <f t="shared" si="0"/>
        <v>5</v>
      </c>
      <c r="B9" s="102"/>
      <c r="C9" s="68"/>
      <c r="D9" s="118" t="s">
        <v>429</v>
      </c>
      <c r="E9" s="119" t="s">
        <v>429</v>
      </c>
      <c r="F9" s="119" t="s">
        <v>429</v>
      </c>
      <c r="G9" s="119" t="s">
        <v>429</v>
      </c>
      <c r="H9" s="138" t="s">
        <v>542</v>
      </c>
      <c r="I9" s="1"/>
      <c r="J9" t="s">
        <v>449</v>
      </c>
      <c r="K9" s="27" t="s">
        <v>451</v>
      </c>
      <c r="L9" t="s">
        <v>6</v>
      </c>
      <c r="M9" t="s">
        <v>7</v>
      </c>
      <c r="N9" s="45" t="s">
        <v>453</v>
      </c>
    </row>
    <row r="10" spans="1:14" x14ac:dyDescent="0.25">
      <c r="A10" s="67">
        <f t="shared" si="0"/>
        <v>6</v>
      </c>
      <c r="B10" s="102"/>
      <c r="C10" s="68"/>
      <c r="D10" s="118" t="s">
        <v>429</v>
      </c>
      <c r="E10" s="119" t="s">
        <v>429</v>
      </c>
      <c r="F10" s="119" t="s">
        <v>429</v>
      </c>
      <c r="G10" s="119" t="s">
        <v>429</v>
      </c>
      <c r="H10" s="138" t="s">
        <v>542</v>
      </c>
      <c r="I10" s="1"/>
      <c r="J10" t="s">
        <v>450</v>
      </c>
      <c r="K10" t="s">
        <v>381</v>
      </c>
      <c r="L10" t="s">
        <v>6</v>
      </c>
      <c r="M10" t="s">
        <v>7</v>
      </c>
      <c r="N10" s="45" t="s">
        <v>455</v>
      </c>
    </row>
    <row r="11" spans="1:14" x14ac:dyDescent="0.25">
      <c r="A11" s="67">
        <f t="shared" si="0"/>
        <v>7</v>
      </c>
      <c r="B11" s="68" t="s">
        <v>539</v>
      </c>
      <c r="C11" s="92" t="s">
        <v>562</v>
      </c>
      <c r="D11" s="105" t="s">
        <v>486</v>
      </c>
      <c r="E11" s="106" t="s">
        <v>487</v>
      </c>
      <c r="F11" s="106" t="s">
        <v>488</v>
      </c>
      <c r="G11" t="s">
        <v>485</v>
      </c>
      <c r="H11" s="131" t="s">
        <v>538</v>
      </c>
      <c r="I11" s="1"/>
      <c r="J11" t="s">
        <v>9</v>
      </c>
      <c r="K11" t="s">
        <v>381</v>
      </c>
      <c r="L11" t="s">
        <v>6</v>
      </c>
      <c r="M11" t="s">
        <v>7</v>
      </c>
      <c r="N11" s="43" t="s">
        <v>287</v>
      </c>
    </row>
    <row r="12" spans="1:14" x14ac:dyDescent="0.25">
      <c r="A12" s="67">
        <f t="shared" si="0"/>
        <v>8</v>
      </c>
      <c r="C12" s="92" t="s">
        <v>562</v>
      </c>
      <c r="D12" s="105" t="s">
        <v>489</v>
      </c>
      <c r="E12" s="106" t="s">
        <v>487</v>
      </c>
      <c r="F12" s="106" t="s">
        <v>490</v>
      </c>
      <c r="G12" t="s">
        <v>491</v>
      </c>
      <c r="H12" s="131" t="s">
        <v>538</v>
      </c>
      <c r="I12" s="1"/>
      <c r="J12" t="s">
        <v>259</v>
      </c>
      <c r="K12" t="s">
        <v>381</v>
      </c>
      <c r="L12" t="s">
        <v>6</v>
      </c>
      <c r="M12" t="s">
        <v>7</v>
      </c>
      <c r="N12" s="43" t="s">
        <v>163</v>
      </c>
    </row>
    <row r="13" spans="1:14" x14ac:dyDescent="0.25">
      <c r="A13" s="67">
        <f t="shared" si="0"/>
        <v>9</v>
      </c>
      <c r="C13" s="92" t="s">
        <v>562</v>
      </c>
      <c r="D13" s="118" t="s">
        <v>429</v>
      </c>
      <c r="E13" s="119" t="s">
        <v>429</v>
      </c>
      <c r="F13" s="119" t="s">
        <v>429</v>
      </c>
      <c r="G13" s="119" t="s">
        <v>429</v>
      </c>
      <c r="H13" s="138" t="s">
        <v>542</v>
      </c>
      <c r="I13" s="1"/>
      <c r="J13" t="s">
        <v>10</v>
      </c>
      <c r="K13" t="s">
        <v>381</v>
      </c>
      <c r="L13" t="s">
        <v>6</v>
      </c>
      <c r="M13" t="s">
        <v>7</v>
      </c>
      <c r="N13" s="43" t="s">
        <v>165</v>
      </c>
    </row>
    <row r="14" spans="1:14" x14ac:dyDescent="0.25">
      <c r="A14" s="67">
        <f t="shared" si="0"/>
        <v>10</v>
      </c>
      <c r="B14" s="68" t="s">
        <v>539</v>
      </c>
      <c r="C14" s="92" t="s">
        <v>562</v>
      </c>
      <c r="D14" s="118" t="s">
        <v>429</v>
      </c>
      <c r="E14" s="119" t="s">
        <v>429</v>
      </c>
      <c r="F14" s="119" t="s">
        <v>429</v>
      </c>
      <c r="G14" s="119" t="s">
        <v>429</v>
      </c>
      <c r="H14" s="138" t="s">
        <v>542</v>
      </c>
      <c r="I14" s="1"/>
      <c r="J14" s="26" t="s">
        <v>514</v>
      </c>
      <c r="K14" t="s">
        <v>381</v>
      </c>
      <c r="L14" t="s">
        <v>6</v>
      </c>
      <c r="M14" s="26" t="s">
        <v>7</v>
      </c>
      <c r="N14" s="45" t="s">
        <v>384</v>
      </c>
    </row>
    <row r="15" spans="1:14" x14ac:dyDescent="0.25">
      <c r="A15" s="67">
        <f t="shared" si="0"/>
        <v>11</v>
      </c>
      <c r="B15" s="68" t="s">
        <v>539</v>
      </c>
      <c r="C15" s="68"/>
      <c r="D15" s="118" t="s">
        <v>429</v>
      </c>
      <c r="E15" s="119" t="s">
        <v>429</v>
      </c>
      <c r="F15" s="119" t="s">
        <v>429</v>
      </c>
      <c r="G15" s="119" t="s">
        <v>429</v>
      </c>
      <c r="H15" s="138" t="s">
        <v>542</v>
      </c>
      <c r="I15" s="1"/>
      <c r="J15" s="26" t="s">
        <v>188</v>
      </c>
      <c r="K15" t="s">
        <v>381</v>
      </c>
      <c r="L15" t="s">
        <v>6</v>
      </c>
      <c r="M15" s="26" t="s">
        <v>7</v>
      </c>
      <c r="N15" s="45" t="s">
        <v>385</v>
      </c>
    </row>
    <row r="16" spans="1:14" x14ac:dyDescent="0.25">
      <c r="A16" s="90"/>
      <c r="B16" s="35"/>
      <c r="C16" s="35"/>
      <c r="D16" s="8"/>
      <c r="E16" s="35"/>
      <c r="F16" s="35"/>
      <c r="G16" s="35"/>
      <c r="H16" s="132"/>
      <c r="I16" s="8" t="s">
        <v>471</v>
      </c>
      <c r="J16" s="35"/>
      <c r="K16" s="35"/>
      <c r="L16" s="35"/>
      <c r="M16" s="35"/>
      <c r="N16" s="94"/>
    </row>
    <row r="17" spans="1:14" x14ac:dyDescent="0.25">
      <c r="A17" s="72">
        <f>A15+1</f>
        <v>12</v>
      </c>
      <c r="B17" s="68" t="s">
        <v>539</v>
      </c>
      <c r="D17" s="118" t="s">
        <v>429</v>
      </c>
      <c r="E17" s="119" t="s">
        <v>429</v>
      </c>
      <c r="F17" s="119" t="s">
        <v>429</v>
      </c>
      <c r="G17" s="119" t="s">
        <v>429</v>
      </c>
      <c r="H17" s="138" t="s">
        <v>542</v>
      </c>
      <c r="I17" s="1"/>
      <c r="J17" s="26" t="s">
        <v>430</v>
      </c>
      <c r="K17" s="27" t="s">
        <v>443</v>
      </c>
      <c r="L17" t="s">
        <v>6</v>
      </c>
      <c r="M17" t="s">
        <v>7</v>
      </c>
      <c r="N17" s="45" t="s">
        <v>446</v>
      </c>
    </row>
    <row r="18" spans="1:14" x14ac:dyDescent="0.25">
      <c r="A18" s="108">
        <f>A17+1</f>
        <v>13</v>
      </c>
      <c r="B18" s="68" t="s">
        <v>539</v>
      </c>
      <c r="C18" s="92" t="s">
        <v>562</v>
      </c>
      <c r="D18" s="112" t="s">
        <v>515</v>
      </c>
      <c r="E18" s="113" t="s">
        <v>493</v>
      </c>
      <c r="F18" s="113" t="s">
        <v>488</v>
      </c>
      <c r="G18" s="26" t="s">
        <v>565</v>
      </c>
      <c r="H18" s="141" t="s">
        <v>538</v>
      </c>
      <c r="I18" s="142"/>
      <c r="J18" s="26" t="s">
        <v>190</v>
      </c>
      <c r="K18" s="15" t="s">
        <v>411</v>
      </c>
      <c r="L18" s="26" t="s">
        <v>544</v>
      </c>
      <c r="M18" s="26" t="s">
        <v>7</v>
      </c>
      <c r="N18" s="43" t="s">
        <v>590</v>
      </c>
    </row>
    <row r="19" spans="1:14" x14ac:dyDescent="0.25">
      <c r="A19" s="72">
        <f>A18+1</f>
        <v>14</v>
      </c>
      <c r="B19" s="68" t="s">
        <v>539</v>
      </c>
      <c r="C19" s="92"/>
      <c r="D19" s="105" t="s">
        <v>515</v>
      </c>
      <c r="E19" s="106" t="s">
        <v>493</v>
      </c>
      <c r="F19" s="113" t="s">
        <v>488</v>
      </c>
      <c r="G19" t="s">
        <v>516</v>
      </c>
      <c r="H19" s="131" t="s">
        <v>538</v>
      </c>
      <c r="I19" s="1"/>
      <c r="J19" t="s">
        <v>16</v>
      </c>
      <c r="K19" t="s">
        <v>381</v>
      </c>
      <c r="L19" t="s">
        <v>6</v>
      </c>
      <c r="M19" t="s">
        <v>7</v>
      </c>
      <c r="N19" s="43" t="s">
        <v>166</v>
      </c>
    </row>
    <row r="20" spans="1:14" x14ac:dyDescent="0.25">
      <c r="A20" s="72">
        <f>A19+1</f>
        <v>15</v>
      </c>
      <c r="B20" s="69"/>
      <c r="C20" s="92"/>
      <c r="D20" s="105" t="s">
        <v>515</v>
      </c>
      <c r="E20" s="106" t="s">
        <v>493</v>
      </c>
      <c r="F20" s="106" t="s">
        <v>488</v>
      </c>
      <c r="G20" t="s">
        <v>543</v>
      </c>
      <c r="H20" s="131" t="s">
        <v>538</v>
      </c>
      <c r="I20" s="1"/>
      <c r="J20" t="s">
        <v>17</v>
      </c>
      <c r="K20" t="s">
        <v>381</v>
      </c>
      <c r="L20" t="s">
        <v>6</v>
      </c>
      <c r="M20" t="s">
        <v>7</v>
      </c>
      <c r="N20" s="43" t="s">
        <v>289</v>
      </c>
    </row>
    <row r="21" spans="1:14" x14ac:dyDescent="0.25">
      <c r="A21" s="72">
        <f>A20+1</f>
        <v>16</v>
      </c>
      <c r="D21" s="105" t="s">
        <v>515</v>
      </c>
      <c r="E21" s="106" t="s">
        <v>487</v>
      </c>
      <c r="F21" s="106" t="s">
        <v>488</v>
      </c>
      <c r="G21" s="26" t="s">
        <v>564</v>
      </c>
      <c r="H21" s="131" t="s">
        <v>538</v>
      </c>
      <c r="I21" s="1"/>
      <c r="J21" t="s">
        <v>394</v>
      </c>
      <c r="K21" t="s">
        <v>381</v>
      </c>
      <c r="L21" t="s">
        <v>6</v>
      </c>
      <c r="M21" t="s">
        <v>7</v>
      </c>
      <c r="N21" s="43" t="s">
        <v>377</v>
      </c>
    </row>
    <row r="22" spans="1:14" x14ac:dyDescent="0.25">
      <c r="A22" s="72">
        <f>A21+1</f>
        <v>17</v>
      </c>
      <c r="D22" s="118" t="s">
        <v>429</v>
      </c>
      <c r="E22" s="119" t="s">
        <v>429</v>
      </c>
      <c r="F22" s="119" t="s">
        <v>429</v>
      </c>
      <c r="G22" s="119" t="s">
        <v>429</v>
      </c>
      <c r="H22" s="138" t="s">
        <v>542</v>
      </c>
      <c r="I22" s="1"/>
      <c r="J22" s="27" t="s">
        <v>340</v>
      </c>
      <c r="K22" s="27" t="s">
        <v>422</v>
      </c>
      <c r="L22" s="27" t="s">
        <v>6</v>
      </c>
      <c r="M22" s="27" t="s">
        <v>193</v>
      </c>
      <c r="N22" s="45" t="s">
        <v>286</v>
      </c>
    </row>
    <row r="23" spans="1:14" x14ac:dyDescent="0.25">
      <c r="A23" s="90"/>
      <c r="B23" s="35"/>
      <c r="C23" s="35"/>
      <c r="D23" s="8"/>
      <c r="E23" s="35"/>
      <c r="F23" s="35"/>
      <c r="G23" s="35"/>
      <c r="H23" s="132"/>
      <c r="I23" s="103" t="s">
        <v>481</v>
      </c>
      <c r="J23" s="35"/>
      <c r="K23" s="35"/>
      <c r="L23" s="35"/>
      <c r="M23" s="35"/>
      <c r="N23" s="94"/>
    </row>
    <row r="24" spans="1:14" x14ac:dyDescent="0.25">
      <c r="A24" s="72">
        <f>A22+1</f>
        <v>18</v>
      </c>
      <c r="B24" s="68" t="s">
        <v>539</v>
      </c>
      <c r="C24" s="68"/>
      <c r="D24" s="118" t="s">
        <v>429</v>
      </c>
      <c r="E24" s="119" t="s">
        <v>429</v>
      </c>
      <c r="F24" s="119" t="s">
        <v>429</v>
      </c>
      <c r="G24" s="119" t="s">
        <v>429</v>
      </c>
      <c r="H24" s="138" t="s">
        <v>542</v>
      </c>
      <c r="I24" s="1"/>
      <c r="J24" s="26" t="s">
        <v>341</v>
      </c>
      <c r="K24" t="s">
        <v>381</v>
      </c>
      <c r="L24" t="s">
        <v>6</v>
      </c>
      <c r="M24" t="s">
        <v>7</v>
      </c>
      <c r="N24" s="45" t="s">
        <v>164</v>
      </c>
    </row>
    <row r="25" spans="1:14" x14ac:dyDescent="0.25">
      <c r="A25" s="72">
        <f>A24+1</f>
        <v>19</v>
      </c>
      <c r="B25" s="68" t="s">
        <v>539</v>
      </c>
      <c r="C25" s="92" t="s">
        <v>562</v>
      </c>
      <c r="D25" s="105" t="s">
        <v>489</v>
      </c>
      <c r="E25" s="106" t="s">
        <v>487</v>
      </c>
      <c r="F25" s="106" t="s">
        <v>490</v>
      </c>
      <c r="G25" s="26" t="s">
        <v>403</v>
      </c>
      <c r="H25" s="133" t="s">
        <v>540</v>
      </c>
      <c r="I25" s="1"/>
      <c r="J25" t="s">
        <v>404</v>
      </c>
      <c r="K25" t="s">
        <v>381</v>
      </c>
      <c r="L25" t="s">
        <v>6</v>
      </c>
      <c r="M25" t="s">
        <v>7</v>
      </c>
      <c r="N25" s="43" t="s">
        <v>288</v>
      </c>
    </row>
    <row r="26" spans="1:14" x14ac:dyDescent="0.25">
      <c r="A26" s="72">
        <f t="shared" ref="A26:A42" si="1">A25+1</f>
        <v>20</v>
      </c>
      <c r="C26" s="92" t="s">
        <v>562</v>
      </c>
      <c r="D26" s="105" t="s">
        <v>489</v>
      </c>
      <c r="E26" s="106" t="s">
        <v>487</v>
      </c>
      <c r="F26" s="106" t="s">
        <v>490</v>
      </c>
      <c r="G26" s="26" t="s">
        <v>546</v>
      </c>
      <c r="H26" s="131" t="s">
        <v>538</v>
      </c>
      <c r="I26" s="1"/>
      <c r="J26" t="s">
        <v>217</v>
      </c>
      <c r="K26" s="14" t="s">
        <v>411</v>
      </c>
      <c r="L26" t="s">
        <v>6</v>
      </c>
      <c r="M26" t="s">
        <v>7</v>
      </c>
      <c r="N26" s="43" t="s">
        <v>24</v>
      </c>
    </row>
    <row r="27" spans="1:14" x14ac:dyDescent="0.25">
      <c r="A27" s="72">
        <f t="shared" si="1"/>
        <v>21</v>
      </c>
      <c r="C27" s="92" t="s">
        <v>562</v>
      </c>
      <c r="D27" s="105" t="s">
        <v>515</v>
      </c>
      <c r="E27" s="106" t="s">
        <v>493</v>
      </c>
      <c r="F27" s="106" t="s">
        <v>488</v>
      </c>
      <c r="G27" t="s">
        <v>460</v>
      </c>
      <c r="H27" s="131" t="s">
        <v>538</v>
      </c>
      <c r="I27" s="1"/>
      <c r="J27" t="s">
        <v>458</v>
      </c>
      <c r="K27" s="14" t="s">
        <v>411</v>
      </c>
      <c r="L27" t="s">
        <v>413</v>
      </c>
      <c r="M27" t="s">
        <v>7</v>
      </c>
      <c r="N27" s="43" t="s">
        <v>591</v>
      </c>
    </row>
    <row r="28" spans="1:14" x14ac:dyDescent="0.25">
      <c r="A28" s="72">
        <f t="shared" si="1"/>
        <v>22</v>
      </c>
      <c r="C28" s="92" t="s">
        <v>562</v>
      </c>
      <c r="D28" s="105" t="s">
        <v>515</v>
      </c>
      <c r="E28" s="106" t="s">
        <v>487</v>
      </c>
      <c r="F28" s="106" t="s">
        <v>488</v>
      </c>
      <c r="G28" t="s">
        <v>461</v>
      </c>
      <c r="H28" s="131" t="s">
        <v>538</v>
      </c>
      <c r="I28" s="1"/>
      <c r="J28" t="s">
        <v>459</v>
      </c>
      <c r="K28" s="14" t="s">
        <v>411</v>
      </c>
      <c r="L28" t="s">
        <v>462</v>
      </c>
      <c r="M28" t="s">
        <v>7</v>
      </c>
      <c r="N28" s="43"/>
    </row>
    <row r="29" spans="1:14" x14ac:dyDescent="0.25">
      <c r="A29" s="72">
        <f t="shared" si="1"/>
        <v>23</v>
      </c>
      <c r="D29" s="105" t="s">
        <v>486</v>
      </c>
      <c r="E29" s="117" t="s">
        <v>487</v>
      </c>
      <c r="F29" s="123" t="s">
        <v>488</v>
      </c>
      <c r="G29" t="s">
        <v>517</v>
      </c>
      <c r="H29" s="131" t="s">
        <v>538</v>
      </c>
      <c r="I29" s="1"/>
      <c r="J29" t="s">
        <v>29</v>
      </c>
      <c r="K29" t="s">
        <v>381</v>
      </c>
      <c r="L29" t="s">
        <v>348</v>
      </c>
      <c r="M29" t="s">
        <v>7</v>
      </c>
      <c r="N29" s="43"/>
    </row>
    <row r="30" spans="1:14" x14ac:dyDescent="0.25">
      <c r="A30" s="72">
        <f t="shared" si="1"/>
        <v>24</v>
      </c>
      <c r="D30" s="118" t="s">
        <v>429</v>
      </c>
      <c r="E30" s="119" t="s">
        <v>429</v>
      </c>
      <c r="F30" s="119" t="s">
        <v>429</v>
      </c>
      <c r="G30" s="119" t="s">
        <v>429</v>
      </c>
      <c r="H30" s="138" t="s">
        <v>542</v>
      </c>
      <c r="I30" s="59"/>
      <c r="J30" s="62" t="s">
        <v>410</v>
      </c>
      <c r="K30" s="62" t="s">
        <v>411</v>
      </c>
      <c r="L30" s="61" t="s">
        <v>387</v>
      </c>
      <c r="M30" s="61" t="s">
        <v>375</v>
      </c>
      <c r="N30" s="43"/>
    </row>
    <row r="31" spans="1:14" x14ac:dyDescent="0.25">
      <c r="A31" s="72">
        <f t="shared" si="1"/>
        <v>25</v>
      </c>
      <c r="D31" s="111" t="s">
        <v>510</v>
      </c>
      <c r="E31" s="106" t="s">
        <v>495</v>
      </c>
      <c r="F31" s="117" t="str">
        <f t="shared" ref="F31" si="2">_xlfn.LET(
_xlpm.A,6-VALUE(RIGHT(TRIM(CLEAN(D31)),1)),
_xlpm.E,6-VALUE(RIGHT(TRIM(CLEAN(E31)),1)),
IF(AND(_xlpm.A&gt;=4,_xlpm.E&gt;=4),"S1",
IF(OR(AND(_xlpm.A=3,_xlpm.E&gt;=3),AND(_xlpm.A&gt;=4,_xlpm.E=3)),"S2",
IF(AND(_xlpm.A=2,_xlpm.E&gt;=3),"S3",
"S4"))))</f>
        <v>S2</v>
      </c>
      <c r="G31" t="s">
        <v>580</v>
      </c>
      <c r="H31" s="131" t="s">
        <v>538</v>
      </c>
      <c r="I31" s="59"/>
      <c r="J31" s="60" t="s">
        <v>44</v>
      </c>
      <c r="K31" s="60" t="s">
        <v>381</v>
      </c>
      <c r="L31" s="61" t="s">
        <v>6</v>
      </c>
      <c r="M31" s="61" t="s">
        <v>295</v>
      </c>
      <c r="N31" s="43">
        <v>1.5</v>
      </c>
    </row>
    <row r="32" spans="1:14" x14ac:dyDescent="0.25">
      <c r="A32" s="72">
        <f t="shared" si="1"/>
        <v>26</v>
      </c>
      <c r="D32" s="111" t="s">
        <v>510</v>
      </c>
      <c r="E32" s="106" t="s">
        <v>495</v>
      </c>
      <c r="F32" s="117" t="str">
        <f t="shared" ref="F32" si="3">_xlfn.LET(
_xlpm.A,6-VALUE(RIGHT(TRIM(CLEAN(D32)),1)),
_xlpm.E,6-VALUE(RIGHT(TRIM(CLEAN(E32)),1)),
IF(AND(_xlpm.A&gt;=4,_xlpm.E&gt;=4),"S1",
IF(OR(AND(_xlpm.A=3,_xlpm.E&gt;=3),AND(_xlpm.A&gt;=4,_xlpm.E=3)),"S2",
IF(AND(_xlpm.A=2,_xlpm.E&gt;=3),"S3",
"S4"))))</f>
        <v>S2</v>
      </c>
      <c r="G32" t="s">
        <v>579</v>
      </c>
      <c r="H32" s="131" t="s">
        <v>538</v>
      </c>
      <c r="I32" s="59"/>
      <c r="J32" s="60" t="s">
        <v>43</v>
      </c>
      <c r="K32" s="60" t="s">
        <v>381</v>
      </c>
      <c r="L32" s="61" t="s">
        <v>6</v>
      </c>
      <c r="M32" s="61" t="s">
        <v>295</v>
      </c>
      <c r="N32" s="43" t="s">
        <v>261</v>
      </c>
    </row>
    <row r="33" spans="1:14" x14ac:dyDescent="0.25">
      <c r="A33" s="72">
        <f t="shared" si="1"/>
        <v>27</v>
      </c>
      <c r="D33" s="118" t="s">
        <v>429</v>
      </c>
      <c r="E33" s="119" t="s">
        <v>429</v>
      </c>
      <c r="F33" s="119" t="s">
        <v>429</v>
      </c>
      <c r="G33" s="119" t="s">
        <v>429</v>
      </c>
      <c r="H33" s="138" t="s">
        <v>542</v>
      </c>
      <c r="I33" s="59"/>
      <c r="J33" s="60" t="s">
        <v>292</v>
      </c>
      <c r="K33" s="60" t="s">
        <v>381</v>
      </c>
      <c r="L33" s="61" t="s">
        <v>78</v>
      </c>
      <c r="M33" s="61" t="s">
        <v>217</v>
      </c>
      <c r="N33" s="43"/>
    </row>
    <row r="34" spans="1:14" x14ac:dyDescent="0.25">
      <c r="A34" s="72">
        <f t="shared" si="1"/>
        <v>28</v>
      </c>
      <c r="D34" s="111" t="s">
        <v>510</v>
      </c>
      <c r="E34" s="106" t="s">
        <v>487</v>
      </c>
      <c r="F34" s="117" t="str">
        <f t="shared" ref="F34" si="4">_xlfn.LET(
_xlpm.A,6-VALUE(RIGHT(TRIM(CLEAN(D34)),1)),
_xlpm.E,6-VALUE(RIGHT(TRIM(CLEAN(E34)),1)),
IF(AND(_xlpm.A&gt;=4,_xlpm.E&gt;=4),"S1",
IF(OR(AND(_xlpm.A=3,_xlpm.E&gt;=3),AND(_xlpm.A&gt;=4,_xlpm.E=3)),"S2",
IF(AND(_xlpm.A=2,_xlpm.E&gt;=3),"S3",
"S4"))))</f>
        <v>S2</v>
      </c>
      <c r="G34" t="s">
        <v>582</v>
      </c>
      <c r="H34" s="131" t="s">
        <v>538</v>
      </c>
      <c r="I34" s="59"/>
      <c r="J34" s="60" t="s">
        <v>407</v>
      </c>
      <c r="K34" s="60" t="s">
        <v>381</v>
      </c>
      <c r="L34" s="61" t="s">
        <v>46</v>
      </c>
      <c r="M34" s="61" t="s">
        <v>222</v>
      </c>
      <c r="N34" s="43"/>
    </row>
    <row r="35" spans="1:14" x14ac:dyDescent="0.25">
      <c r="A35" s="72">
        <f t="shared" si="1"/>
        <v>29</v>
      </c>
      <c r="C35" s="92" t="s">
        <v>562</v>
      </c>
      <c r="D35" s="111" t="s">
        <v>510</v>
      </c>
      <c r="E35" s="106" t="s">
        <v>495</v>
      </c>
      <c r="F35" s="117" t="str">
        <f t="shared" ref="F35:F36" si="5">_xlfn.LET(
_xlpm.A,6-VALUE(RIGHT(TRIM(CLEAN(D35)),1)),
_xlpm.E,6-VALUE(RIGHT(TRIM(CLEAN(E35)),1)),
IF(AND(_xlpm.A&gt;=4,_xlpm.E&gt;=4),"S1",
IF(OR(AND(_xlpm.A=3,_xlpm.E&gt;=3),AND(_xlpm.A&gt;=4,_xlpm.E=3)),"S2",
IF(AND(_xlpm.A=2,_xlpm.E&gt;=3),"S3",
"S4"))))</f>
        <v>S2</v>
      </c>
      <c r="G35" t="s">
        <v>579</v>
      </c>
      <c r="H35" s="131" t="s">
        <v>538</v>
      </c>
      <c r="I35" s="59"/>
      <c r="J35" s="60" t="s">
        <v>39</v>
      </c>
      <c r="K35" s="60" t="s">
        <v>381</v>
      </c>
      <c r="L35" s="61" t="s">
        <v>40</v>
      </c>
      <c r="M35" s="61" t="s">
        <v>290</v>
      </c>
      <c r="N35" s="43"/>
    </row>
    <row r="36" spans="1:14" x14ac:dyDescent="0.25">
      <c r="A36" s="72">
        <f t="shared" si="1"/>
        <v>30</v>
      </c>
      <c r="C36" s="92" t="s">
        <v>562</v>
      </c>
      <c r="D36" s="111" t="s">
        <v>510</v>
      </c>
      <c r="E36" s="106" t="s">
        <v>495</v>
      </c>
      <c r="F36" s="117" t="str">
        <f t="shared" si="5"/>
        <v>S2</v>
      </c>
      <c r="G36" t="s">
        <v>581</v>
      </c>
      <c r="H36" s="131" t="s">
        <v>538</v>
      </c>
      <c r="I36" s="59"/>
      <c r="J36" s="60" t="s">
        <v>291</v>
      </c>
      <c r="K36" s="60" t="s">
        <v>381</v>
      </c>
      <c r="L36" s="61" t="s">
        <v>40</v>
      </c>
      <c r="M36" s="61" t="s">
        <v>290</v>
      </c>
      <c r="N36" s="43"/>
    </row>
    <row r="37" spans="1:14" x14ac:dyDescent="0.25">
      <c r="A37" s="72">
        <f t="shared" si="1"/>
        <v>31</v>
      </c>
      <c r="D37" s="118" t="s">
        <v>429</v>
      </c>
      <c r="E37" s="119" t="s">
        <v>429</v>
      </c>
      <c r="F37" s="119" t="s">
        <v>429</v>
      </c>
      <c r="G37" s="119" t="s">
        <v>429</v>
      </c>
      <c r="H37" s="138" t="s">
        <v>542</v>
      </c>
      <c r="I37" s="59"/>
      <c r="J37" s="60" t="s">
        <v>389</v>
      </c>
      <c r="K37" s="60" t="s">
        <v>381</v>
      </c>
      <c r="L37" s="61" t="s">
        <v>390</v>
      </c>
      <c r="M37" s="61" t="s">
        <v>223</v>
      </c>
      <c r="N37" s="43"/>
    </row>
    <row r="38" spans="1:14" x14ac:dyDescent="0.25">
      <c r="A38" s="72">
        <f t="shared" si="1"/>
        <v>32</v>
      </c>
      <c r="D38" s="111" t="s">
        <v>510</v>
      </c>
      <c r="E38" s="106" t="s">
        <v>495</v>
      </c>
      <c r="F38" s="117" t="str">
        <f t="shared" ref="F38" si="6">_xlfn.LET(
_xlpm.A,6-VALUE(RIGHT(TRIM(CLEAN(D38)),1)),
_xlpm.E,6-VALUE(RIGHT(TRIM(CLEAN(E38)),1)),
IF(AND(_xlpm.A&gt;=4,_xlpm.E&gt;=4),"S1",
IF(OR(AND(_xlpm.A=3,_xlpm.E&gt;=3),AND(_xlpm.A&gt;=4,_xlpm.E=3)),"S2",
IF(AND(_xlpm.A=2,_xlpm.E&gt;=3),"S3",
"S4"))))</f>
        <v>S2</v>
      </c>
      <c r="G38" s="119" t="s">
        <v>570</v>
      </c>
      <c r="H38" s="133" t="s">
        <v>540</v>
      </c>
      <c r="I38" s="59"/>
      <c r="J38" s="60" t="s">
        <v>312</v>
      </c>
      <c r="K38" s="60" t="s">
        <v>381</v>
      </c>
      <c r="L38" s="61" t="s">
        <v>50</v>
      </c>
      <c r="M38" s="61" t="s">
        <v>223</v>
      </c>
      <c r="N38" s="43"/>
    </row>
    <row r="39" spans="1:14" x14ac:dyDescent="0.25">
      <c r="A39" s="72">
        <f t="shared" si="1"/>
        <v>33</v>
      </c>
      <c r="D39" s="111" t="s">
        <v>510</v>
      </c>
      <c r="E39" s="106" t="s">
        <v>495</v>
      </c>
      <c r="F39" s="117" t="str">
        <f t="shared" ref="F39:F40" si="7">_xlfn.LET(
_xlpm.A,6-VALUE(RIGHT(TRIM(CLEAN(D39)),1)),
_xlpm.E,6-VALUE(RIGHT(TRIM(CLEAN(E39)),1)),
IF(AND(_xlpm.A&gt;=4,_xlpm.E&gt;=4),"S1",
IF(OR(AND(_xlpm.A=3,_xlpm.E&gt;=3),AND(_xlpm.A&gt;=4,_xlpm.E=3)),"S2",
IF(AND(_xlpm.A=2,_xlpm.E&gt;=3),"S3",
"S4"))))</f>
        <v>S2</v>
      </c>
      <c r="G39" s="119" t="s">
        <v>570</v>
      </c>
      <c r="H39" s="138" t="s">
        <v>542</v>
      </c>
      <c r="I39" s="59"/>
      <c r="J39" s="60" t="s">
        <v>311</v>
      </c>
      <c r="K39" s="60" t="s">
        <v>381</v>
      </c>
      <c r="L39" s="61" t="s">
        <v>50</v>
      </c>
      <c r="M39" s="61" t="s">
        <v>223</v>
      </c>
      <c r="N39" s="43"/>
    </row>
    <row r="40" spans="1:14" x14ac:dyDescent="0.25">
      <c r="A40" s="72">
        <f t="shared" si="1"/>
        <v>34</v>
      </c>
      <c r="D40" s="111" t="s">
        <v>510</v>
      </c>
      <c r="E40" s="106" t="s">
        <v>495</v>
      </c>
      <c r="F40" s="117" t="str">
        <f t="shared" si="7"/>
        <v>S2</v>
      </c>
      <c r="G40" s="119" t="s">
        <v>570</v>
      </c>
      <c r="H40" s="138" t="s">
        <v>542</v>
      </c>
      <c r="I40" s="59"/>
      <c r="J40" s="60" t="s">
        <v>310</v>
      </c>
      <c r="K40" s="60" t="s">
        <v>381</v>
      </c>
      <c r="L40" s="61" t="s">
        <v>50</v>
      </c>
      <c r="M40" s="61" t="s">
        <v>296</v>
      </c>
      <c r="N40" s="43"/>
    </row>
    <row r="41" spans="1:14" x14ac:dyDescent="0.25">
      <c r="A41" s="72">
        <f t="shared" si="1"/>
        <v>35</v>
      </c>
      <c r="D41" s="118" t="s">
        <v>429</v>
      </c>
      <c r="E41" s="119" t="s">
        <v>429</v>
      </c>
      <c r="F41" s="119" t="s">
        <v>429</v>
      </c>
      <c r="G41" s="119" t="s">
        <v>429</v>
      </c>
      <c r="H41" s="138" t="s">
        <v>542</v>
      </c>
      <c r="I41" s="59"/>
      <c r="J41" s="60" t="s">
        <v>307</v>
      </c>
      <c r="K41" s="60" t="s">
        <v>381</v>
      </c>
      <c r="L41" s="61" t="s">
        <v>6</v>
      </c>
      <c r="M41" s="61" t="s">
        <v>217</v>
      </c>
      <c r="N41" s="43" t="s">
        <v>167</v>
      </c>
    </row>
    <row r="42" spans="1:14" x14ac:dyDescent="0.25">
      <c r="A42" s="72">
        <f t="shared" si="1"/>
        <v>36</v>
      </c>
      <c r="D42" s="105" t="s">
        <v>510</v>
      </c>
      <c r="E42" s="106" t="s">
        <v>495</v>
      </c>
      <c r="F42" s="117" t="str">
        <f t="shared" ref="F42" si="8">_xlfn.LET(
_xlpm.A,6-VALUE(RIGHT(TRIM(CLEAN(D42)),1)),
_xlpm.E,6-VALUE(RIGHT(TRIM(CLEAN(E42)),1)),
IF(AND(_xlpm.A&gt;=4,_xlpm.E&gt;=4),"S1",
IF(OR(AND(_xlpm.A=3,_xlpm.E&gt;=3),AND(_xlpm.A&gt;=4,_xlpm.E=3)),"S2",
IF(AND(_xlpm.A=2,_xlpm.E&gt;=3),"S3",
"S4"))))</f>
        <v>S2</v>
      </c>
      <c r="G42" t="s">
        <v>571</v>
      </c>
      <c r="H42" s="131" t="s">
        <v>538</v>
      </c>
      <c r="I42" s="59"/>
      <c r="J42" s="60" t="s">
        <v>58</v>
      </c>
      <c r="K42" s="60" t="s">
        <v>381</v>
      </c>
      <c r="L42" s="61" t="s">
        <v>59</v>
      </c>
      <c r="M42" s="61" t="s">
        <v>283</v>
      </c>
      <c r="N42" s="43"/>
    </row>
    <row r="43" spans="1:14" x14ac:dyDescent="0.25">
      <c r="A43" s="67">
        <f t="shared" ref="A43:A46" si="9">A42+1</f>
        <v>37</v>
      </c>
      <c r="C43" s="68"/>
      <c r="D43" s="111" t="s">
        <v>510</v>
      </c>
      <c r="E43" s="106" t="s">
        <v>495</v>
      </c>
      <c r="F43" s="117" t="s">
        <v>511</v>
      </c>
      <c r="G43" t="s">
        <v>399</v>
      </c>
      <c r="H43" s="131" t="s">
        <v>538</v>
      </c>
      <c r="I43" s="59"/>
      <c r="J43" s="60" t="s">
        <v>306</v>
      </c>
      <c r="K43" s="60" t="s">
        <v>381</v>
      </c>
      <c r="L43" s="61" t="s">
        <v>6</v>
      </c>
      <c r="M43" s="61" t="s">
        <v>294</v>
      </c>
      <c r="N43" s="43"/>
    </row>
    <row r="44" spans="1:14" x14ac:dyDescent="0.25">
      <c r="A44" s="67">
        <f t="shared" si="9"/>
        <v>38</v>
      </c>
      <c r="C44" s="69"/>
      <c r="D44" s="111" t="s">
        <v>510</v>
      </c>
      <c r="E44" s="106" t="s">
        <v>495</v>
      </c>
      <c r="F44" s="117" t="s">
        <v>511</v>
      </c>
      <c r="G44" t="s">
        <v>520</v>
      </c>
      <c r="H44" s="131" t="s">
        <v>538</v>
      </c>
      <c r="I44" s="59"/>
      <c r="J44" s="60" t="s">
        <v>305</v>
      </c>
      <c r="K44" s="60" t="s">
        <v>381</v>
      </c>
      <c r="L44" s="61" t="s">
        <v>61</v>
      </c>
      <c r="M44" s="61" t="s">
        <v>222</v>
      </c>
      <c r="N44" s="43"/>
    </row>
    <row r="45" spans="1:14" x14ac:dyDescent="0.25">
      <c r="A45" s="67">
        <f t="shared" si="9"/>
        <v>39</v>
      </c>
      <c r="C45" s="69"/>
      <c r="D45" s="118" t="s">
        <v>429</v>
      </c>
      <c r="E45" s="119" t="s">
        <v>429</v>
      </c>
      <c r="F45" s="119" t="s">
        <v>429</v>
      </c>
      <c r="G45" s="119" t="s">
        <v>429</v>
      </c>
      <c r="H45" s="138" t="s">
        <v>542</v>
      </c>
      <c r="I45" s="59"/>
      <c r="J45" s="60" t="s">
        <v>293</v>
      </c>
      <c r="K45" s="60" t="s">
        <v>381</v>
      </c>
      <c r="L45" s="61" t="s">
        <v>6</v>
      </c>
      <c r="M45" s="61" t="s">
        <v>223</v>
      </c>
      <c r="N45" s="43"/>
    </row>
    <row r="46" spans="1:14" x14ac:dyDescent="0.25">
      <c r="A46" s="67">
        <f t="shared" si="9"/>
        <v>40</v>
      </c>
      <c r="D46" s="111" t="s">
        <v>510</v>
      </c>
      <c r="E46" s="106" t="s">
        <v>495</v>
      </c>
      <c r="F46" s="117" t="str">
        <f t="shared" ref="F46" si="10">_xlfn.LET(
_xlpm.A,6-VALUE(RIGHT(TRIM(CLEAN(D46)),1)),
_xlpm.E,6-VALUE(RIGHT(TRIM(CLEAN(E46)),1)),
IF(AND(_xlpm.A&gt;=4,_xlpm.E&gt;=4),"S1",
IF(OR(AND(_xlpm.A=3,_xlpm.E&gt;=3),AND(_xlpm.A&gt;=4,_xlpm.E=3)),"S2",
IF(AND(_xlpm.A=2,_xlpm.E&gt;=3),"S3",
"S4"))))</f>
        <v>S2</v>
      </c>
      <c r="G46" t="s">
        <v>579</v>
      </c>
      <c r="H46" s="138" t="s">
        <v>542</v>
      </c>
      <c r="I46" s="59"/>
      <c r="J46" s="60" t="s">
        <v>309</v>
      </c>
      <c r="K46" s="60" t="s">
        <v>381</v>
      </c>
      <c r="L46" s="61" t="s">
        <v>6</v>
      </c>
      <c r="M46" s="61" t="s">
        <v>222</v>
      </c>
      <c r="N46" s="43"/>
    </row>
    <row r="47" spans="1:14" x14ac:dyDescent="0.25">
      <c r="A47" s="90"/>
      <c r="B47" s="35"/>
      <c r="C47" s="35"/>
      <c r="D47" s="8"/>
      <c r="E47" s="35"/>
      <c r="F47" s="35"/>
      <c r="G47" s="35"/>
      <c r="H47" s="132"/>
      <c r="I47" s="8" t="s">
        <v>472</v>
      </c>
      <c r="J47" s="34"/>
      <c r="K47" s="34"/>
      <c r="L47" s="35"/>
      <c r="M47" s="35"/>
      <c r="N47" s="94"/>
    </row>
    <row r="48" spans="1:14" x14ac:dyDescent="0.25">
      <c r="A48" s="67">
        <f>A46+1</f>
        <v>41</v>
      </c>
      <c r="D48" s="139" t="s">
        <v>515</v>
      </c>
      <c r="E48" s="113" t="s">
        <v>487</v>
      </c>
      <c r="F48" s="113" t="s">
        <v>488</v>
      </c>
      <c r="G48" s="26" t="s">
        <v>578</v>
      </c>
      <c r="H48" s="133" t="s">
        <v>540</v>
      </c>
      <c r="I48" s="1"/>
      <c r="J48" s="15" t="s">
        <v>577</v>
      </c>
      <c r="K48" s="14" t="s">
        <v>382</v>
      </c>
      <c r="L48" t="s">
        <v>6</v>
      </c>
      <c r="M48" t="s">
        <v>7</v>
      </c>
      <c r="N48" s="43"/>
    </row>
    <row r="49" spans="1:14" x14ac:dyDescent="0.25">
      <c r="A49" s="67">
        <f>A48+1</f>
        <v>42</v>
      </c>
      <c r="B49" s="68" t="s">
        <v>539</v>
      </c>
      <c r="D49" s="118" t="s">
        <v>429</v>
      </c>
      <c r="E49" s="119" t="s">
        <v>429</v>
      </c>
      <c r="F49" s="119" t="s">
        <v>429</v>
      </c>
      <c r="G49" s="119" t="s">
        <v>429</v>
      </c>
      <c r="H49" s="138" t="s">
        <v>542</v>
      </c>
      <c r="I49" s="1"/>
      <c r="J49" s="14" t="s">
        <v>81</v>
      </c>
      <c r="K49" t="s">
        <v>381</v>
      </c>
      <c r="L49" t="s">
        <v>6</v>
      </c>
      <c r="M49" t="s">
        <v>7</v>
      </c>
      <c r="N49" s="43" t="s">
        <v>134</v>
      </c>
    </row>
    <row r="50" spans="1:14" x14ac:dyDescent="0.25">
      <c r="A50" s="67">
        <f t="shared" ref="A50:A55" si="11">A49+1</f>
        <v>43</v>
      </c>
      <c r="B50" s="68" t="s">
        <v>539</v>
      </c>
      <c r="D50" s="118" t="s">
        <v>429</v>
      </c>
      <c r="E50" s="119" t="s">
        <v>429</v>
      </c>
      <c r="F50" s="119" t="s">
        <v>429</v>
      </c>
      <c r="G50" s="119" t="s">
        <v>429</v>
      </c>
      <c r="H50" s="138" t="s">
        <v>542</v>
      </c>
      <c r="I50" s="1"/>
      <c r="J50" s="14" t="s">
        <v>536</v>
      </c>
      <c r="K50" t="s">
        <v>420</v>
      </c>
      <c r="L50" t="s">
        <v>6</v>
      </c>
      <c r="M50" t="s">
        <v>7</v>
      </c>
      <c r="N50" s="43" t="s">
        <v>169</v>
      </c>
    </row>
    <row r="51" spans="1:14" x14ac:dyDescent="0.25">
      <c r="A51" s="67">
        <f t="shared" si="11"/>
        <v>44</v>
      </c>
      <c r="B51" s="68" t="s">
        <v>539</v>
      </c>
      <c r="D51" s="118" t="s">
        <v>429</v>
      </c>
      <c r="E51" s="119" t="s">
        <v>429</v>
      </c>
      <c r="F51" s="119" t="s">
        <v>429</v>
      </c>
      <c r="G51" s="119" t="s">
        <v>429</v>
      </c>
      <c r="H51" s="138" t="s">
        <v>542</v>
      </c>
      <c r="I51" s="1"/>
      <c r="J51" s="14" t="s">
        <v>234</v>
      </c>
      <c r="K51" t="s">
        <v>381</v>
      </c>
      <c r="L51" t="s">
        <v>6</v>
      </c>
      <c r="M51" t="s">
        <v>7</v>
      </c>
      <c r="N51" s="43" t="s">
        <v>168</v>
      </c>
    </row>
    <row r="52" spans="1:14" x14ac:dyDescent="0.25">
      <c r="A52" s="67">
        <f t="shared" si="11"/>
        <v>45</v>
      </c>
      <c r="D52" s="118" t="s">
        <v>429</v>
      </c>
      <c r="E52" s="119" t="s">
        <v>429</v>
      </c>
      <c r="F52" s="119" t="s">
        <v>429</v>
      </c>
      <c r="G52" s="119" t="s">
        <v>429</v>
      </c>
      <c r="H52" s="138" t="s">
        <v>542</v>
      </c>
      <c r="I52" s="1"/>
      <c r="J52" s="15" t="s">
        <v>233</v>
      </c>
      <c r="K52" t="s">
        <v>381</v>
      </c>
      <c r="L52" t="s">
        <v>6</v>
      </c>
      <c r="M52" t="s">
        <v>7</v>
      </c>
      <c r="N52" s="43"/>
    </row>
    <row r="53" spans="1:14" x14ac:dyDescent="0.25">
      <c r="A53" s="67">
        <f t="shared" si="11"/>
        <v>46</v>
      </c>
      <c r="D53" s="139" t="s">
        <v>515</v>
      </c>
      <c r="E53" s="113" t="s">
        <v>487</v>
      </c>
      <c r="F53" s="113" t="s">
        <v>488</v>
      </c>
      <c r="G53" s="26" t="s">
        <v>535</v>
      </c>
      <c r="H53" s="133" t="s">
        <v>540</v>
      </c>
      <c r="I53" s="1"/>
      <c r="J53" s="15" t="s">
        <v>285</v>
      </c>
      <c r="K53" t="s">
        <v>420</v>
      </c>
      <c r="L53" t="s">
        <v>6</v>
      </c>
      <c r="M53" t="s">
        <v>7</v>
      </c>
      <c r="N53" s="43" t="s">
        <v>169</v>
      </c>
    </row>
    <row r="54" spans="1:14" x14ac:dyDescent="0.25">
      <c r="A54" s="67">
        <f t="shared" si="11"/>
        <v>47</v>
      </c>
      <c r="D54" s="118" t="s">
        <v>429</v>
      </c>
      <c r="E54" s="119" t="s">
        <v>429</v>
      </c>
      <c r="F54" s="119" t="s">
        <v>429</v>
      </c>
      <c r="G54" s="119" t="s">
        <v>429</v>
      </c>
      <c r="H54" s="138" t="s">
        <v>542</v>
      </c>
      <c r="I54" s="1"/>
      <c r="J54" s="14" t="s">
        <v>84</v>
      </c>
      <c r="K54" t="s">
        <v>420</v>
      </c>
      <c r="L54" t="s">
        <v>6</v>
      </c>
      <c r="M54" t="s">
        <v>7</v>
      </c>
      <c r="N54" s="43" t="s">
        <v>169</v>
      </c>
    </row>
    <row r="55" spans="1:14" x14ac:dyDescent="0.25">
      <c r="A55" s="67">
        <f t="shared" si="11"/>
        <v>48</v>
      </c>
      <c r="D55" s="118" t="s">
        <v>429</v>
      </c>
      <c r="E55" s="119" t="s">
        <v>429</v>
      </c>
      <c r="F55" s="119" t="s">
        <v>429</v>
      </c>
      <c r="G55" s="119" t="s">
        <v>429</v>
      </c>
      <c r="H55" s="138" t="s">
        <v>542</v>
      </c>
      <c r="I55" s="1"/>
      <c r="J55" s="14" t="s">
        <v>378</v>
      </c>
      <c r="K55" t="s">
        <v>381</v>
      </c>
      <c r="L55" t="s">
        <v>6</v>
      </c>
      <c r="M55" t="s">
        <v>7</v>
      </c>
      <c r="N55" s="43" t="s">
        <v>377</v>
      </c>
    </row>
    <row r="56" spans="1:14" x14ac:dyDescent="0.25">
      <c r="A56" s="90"/>
      <c r="B56" s="35"/>
      <c r="C56" s="35"/>
      <c r="D56" s="8"/>
      <c r="E56" s="35"/>
      <c r="F56" s="35"/>
      <c r="G56" s="35"/>
      <c r="H56" s="132"/>
      <c r="I56" s="8" t="s">
        <v>473</v>
      </c>
      <c r="J56" s="34"/>
      <c r="K56" s="35"/>
      <c r="L56" s="35"/>
      <c r="M56" s="35"/>
      <c r="N56" s="94"/>
    </row>
    <row r="57" spans="1:14" x14ac:dyDescent="0.25">
      <c r="A57" s="67">
        <f>A55+1</f>
        <v>49</v>
      </c>
      <c r="D57" s="105" t="s">
        <v>489</v>
      </c>
      <c r="E57" s="106" t="s">
        <v>495</v>
      </c>
      <c r="F57" s="106" t="s">
        <v>490</v>
      </c>
      <c r="G57" s="144" t="s">
        <v>545</v>
      </c>
      <c r="H57" s="133" t="s">
        <v>540</v>
      </c>
      <c r="I57" s="1"/>
      <c r="J57" s="15" t="s">
        <v>463</v>
      </c>
      <c r="K57" t="s">
        <v>420</v>
      </c>
      <c r="L57" t="s">
        <v>6</v>
      </c>
      <c r="M57" t="s">
        <v>7</v>
      </c>
      <c r="N57" s="43"/>
    </row>
    <row r="58" spans="1:14" x14ac:dyDescent="0.25">
      <c r="A58" s="67">
        <f>A57+1</f>
        <v>50</v>
      </c>
      <c r="D58" s="118" t="s">
        <v>429</v>
      </c>
      <c r="E58" s="119" t="s">
        <v>429</v>
      </c>
      <c r="F58" s="119" t="s">
        <v>429</v>
      </c>
      <c r="G58" s="119" t="s">
        <v>429</v>
      </c>
      <c r="H58" s="138" t="s">
        <v>542</v>
      </c>
      <c r="I58" s="1"/>
      <c r="J58" s="15" t="s">
        <v>464</v>
      </c>
      <c r="K58" t="s">
        <v>420</v>
      </c>
      <c r="L58" t="s">
        <v>6</v>
      </c>
      <c r="M58" t="s">
        <v>7</v>
      </c>
      <c r="N58" s="43" t="s">
        <v>169</v>
      </c>
    </row>
    <row r="59" spans="1:14" x14ac:dyDescent="0.25">
      <c r="A59" s="67">
        <f t="shared" ref="A59:A65" si="12">A58+1</f>
        <v>51</v>
      </c>
      <c r="D59" s="111" t="s">
        <v>510</v>
      </c>
      <c r="E59" s="106" t="s">
        <v>495</v>
      </c>
      <c r="F59" s="117" t="str">
        <f t="shared" ref="F59" si="13">_xlfn.LET(
_xlpm.A,6-VALUE(RIGHT(TRIM(CLEAN(D59)),1)),
_xlpm.E,6-VALUE(RIGHT(TRIM(CLEAN(E59)),1)),
IF(AND(_xlpm.A&gt;=4,_xlpm.E&gt;=4),"S1",
IF(OR(AND(_xlpm.A=3,_xlpm.E&gt;=3),AND(_xlpm.A&gt;=4,_xlpm.E=3)),"S2",
IF(AND(_xlpm.A=2,_xlpm.E&gt;=3),"S3",
"S4"))))</f>
        <v>S2</v>
      </c>
      <c r="G59" s="26" t="s">
        <v>576</v>
      </c>
      <c r="H59" s="133" t="s">
        <v>540</v>
      </c>
      <c r="I59" s="1"/>
      <c r="J59" s="15" t="s">
        <v>573</v>
      </c>
      <c r="K59" t="s">
        <v>420</v>
      </c>
      <c r="L59" t="s">
        <v>6</v>
      </c>
      <c r="M59" t="s">
        <v>7</v>
      </c>
      <c r="N59" s="43"/>
    </row>
    <row r="60" spans="1:14" x14ac:dyDescent="0.25">
      <c r="A60" s="67">
        <f t="shared" si="12"/>
        <v>52</v>
      </c>
      <c r="D60" s="105" t="s">
        <v>486</v>
      </c>
      <c r="E60" s="117" t="s">
        <v>487</v>
      </c>
      <c r="F60" s="117" t="s">
        <v>488</v>
      </c>
      <c r="G60" s="140" t="s">
        <v>426</v>
      </c>
      <c r="H60" s="133" t="s">
        <v>540</v>
      </c>
      <c r="I60" s="1"/>
      <c r="J60" s="14" t="s">
        <v>466</v>
      </c>
      <c r="K60" t="s">
        <v>420</v>
      </c>
      <c r="L60" t="s">
        <v>6</v>
      </c>
      <c r="M60" t="s">
        <v>7</v>
      </c>
      <c r="N60" s="43"/>
    </row>
    <row r="61" spans="1:14" x14ac:dyDescent="0.25">
      <c r="A61" s="67">
        <f t="shared" si="12"/>
        <v>53</v>
      </c>
      <c r="D61" s="112" t="s">
        <v>489</v>
      </c>
      <c r="E61" s="113" t="s">
        <v>495</v>
      </c>
      <c r="F61" s="113" t="s">
        <v>490</v>
      </c>
      <c r="G61" s="26" t="s">
        <v>427</v>
      </c>
      <c r="H61" s="133" t="s">
        <v>540</v>
      </c>
      <c r="I61" s="1"/>
      <c r="J61" s="14" t="s">
        <v>391</v>
      </c>
      <c r="K61" t="s">
        <v>420</v>
      </c>
      <c r="L61" t="s">
        <v>6</v>
      </c>
      <c r="M61" t="s">
        <v>7</v>
      </c>
      <c r="N61" s="43"/>
    </row>
    <row r="62" spans="1:14" ht="15" customHeight="1" x14ac:dyDescent="0.25">
      <c r="A62" s="67">
        <f t="shared" si="12"/>
        <v>54</v>
      </c>
      <c r="D62" s="112" t="s">
        <v>489</v>
      </c>
      <c r="E62" s="113" t="s">
        <v>495</v>
      </c>
      <c r="F62" s="113" t="s">
        <v>490</v>
      </c>
      <c r="G62" s="26" t="s">
        <v>568</v>
      </c>
      <c r="H62" s="133" t="s">
        <v>540</v>
      </c>
      <c r="I62" s="1"/>
      <c r="J62" s="15" t="s">
        <v>566</v>
      </c>
      <c r="K62" t="s">
        <v>420</v>
      </c>
      <c r="L62" t="s">
        <v>6</v>
      </c>
      <c r="M62" t="s">
        <v>7</v>
      </c>
      <c r="N62" s="45"/>
    </row>
    <row r="63" spans="1:14" x14ac:dyDescent="0.25">
      <c r="A63" s="67">
        <f t="shared" si="12"/>
        <v>55</v>
      </c>
      <c r="D63" s="112" t="s">
        <v>489</v>
      </c>
      <c r="E63" s="113" t="s">
        <v>495</v>
      </c>
      <c r="F63" s="113" t="s">
        <v>490</v>
      </c>
      <c r="G63" t="s">
        <v>567</v>
      </c>
      <c r="H63" s="133" t="s">
        <v>540</v>
      </c>
      <c r="I63" s="1"/>
      <c r="J63" s="14" t="s">
        <v>467</v>
      </c>
      <c r="K63" t="s">
        <v>420</v>
      </c>
      <c r="L63" t="s">
        <v>6</v>
      </c>
      <c r="M63" t="s">
        <v>7</v>
      </c>
      <c r="N63" s="43"/>
    </row>
    <row r="64" spans="1:14" x14ac:dyDescent="0.25">
      <c r="A64" s="67">
        <f t="shared" si="12"/>
        <v>56</v>
      </c>
      <c r="D64" s="112" t="s">
        <v>489</v>
      </c>
      <c r="E64" s="113" t="s">
        <v>495</v>
      </c>
      <c r="F64" s="113" t="s">
        <v>490</v>
      </c>
      <c r="G64" t="s">
        <v>553</v>
      </c>
      <c r="H64" s="133" t="s">
        <v>540</v>
      </c>
      <c r="I64" s="1"/>
      <c r="J64" s="14" t="s">
        <v>468</v>
      </c>
      <c r="K64" t="s">
        <v>420</v>
      </c>
      <c r="L64" t="s">
        <v>6</v>
      </c>
      <c r="M64" t="s">
        <v>392</v>
      </c>
      <c r="N64" s="43"/>
    </row>
    <row r="65" spans="1:14" x14ac:dyDescent="0.25">
      <c r="A65" s="67">
        <f t="shared" si="12"/>
        <v>57</v>
      </c>
      <c r="C65" s="68"/>
      <c r="D65" s="105" t="s">
        <v>486</v>
      </c>
      <c r="E65" s="106" t="s">
        <v>487</v>
      </c>
      <c r="F65" s="106" t="s">
        <v>488</v>
      </c>
      <c r="G65" t="s">
        <v>400</v>
      </c>
      <c r="H65" s="131" t="s">
        <v>538</v>
      </c>
      <c r="I65" s="1"/>
      <c r="J65" s="15" t="s">
        <v>91</v>
      </c>
      <c r="K65" t="s">
        <v>381</v>
      </c>
      <c r="L65" t="s">
        <v>6</v>
      </c>
      <c r="M65" t="s">
        <v>7</v>
      </c>
      <c r="N65" s="43" t="s">
        <v>169</v>
      </c>
    </row>
    <row r="66" spans="1:14" x14ac:dyDescent="0.25">
      <c r="A66" s="90"/>
      <c r="B66" s="35"/>
      <c r="C66" s="35"/>
      <c r="D66" s="8"/>
      <c r="E66" s="35"/>
      <c r="F66" s="35"/>
      <c r="G66" s="35"/>
      <c r="H66" s="138" t="s">
        <v>542</v>
      </c>
      <c r="I66" s="8" t="s">
        <v>474</v>
      </c>
      <c r="J66" s="34"/>
      <c r="K66" s="35"/>
      <c r="L66" s="35"/>
      <c r="M66" s="35"/>
      <c r="N66" s="94"/>
    </row>
    <row r="67" spans="1:14" x14ac:dyDescent="0.25">
      <c r="A67" s="67">
        <f>A65+1</f>
        <v>58</v>
      </c>
      <c r="D67" s="112" t="s">
        <v>489</v>
      </c>
      <c r="E67" s="113" t="s">
        <v>495</v>
      </c>
      <c r="F67" s="113" t="s">
        <v>490</v>
      </c>
      <c r="G67" s="119" t="s">
        <v>583</v>
      </c>
      <c r="H67" s="133" t="s">
        <v>540</v>
      </c>
      <c r="I67" s="1"/>
      <c r="J67" s="14" t="s">
        <v>547</v>
      </c>
      <c r="K67" s="14" t="s">
        <v>550</v>
      </c>
      <c r="L67" t="s">
        <v>6</v>
      </c>
      <c r="M67" t="s">
        <v>7</v>
      </c>
      <c r="N67" s="43"/>
    </row>
    <row r="68" spans="1:14" x14ac:dyDescent="0.25">
      <c r="A68" s="67">
        <f>A67+1</f>
        <v>59</v>
      </c>
      <c r="D68" s="105" t="s">
        <v>489</v>
      </c>
      <c r="E68" s="106" t="s">
        <v>495</v>
      </c>
      <c r="F68" s="106" t="str">
        <f t="shared" ref="F68:F69" si="14">_xlfn.LET(
_xlpm.A,6-VALUE(RIGHT(TRIM(CLEAN(D68)),1)),
_xlpm.E,6-VALUE(RIGHT(TRIM(CLEAN(E68)),1)),
IF(AND(_xlpm.A&gt;=4,_xlpm.E&gt;=4),"S1",
IF(OR(AND(_xlpm.A=3,_xlpm.E&gt;=3),AND(_xlpm.A&gt;=4,_xlpm.E=3)),"S2",
IF(AND(_xlpm.A=2,_xlpm.E&gt;=3),"S3",
"S4"))))</f>
        <v>S3</v>
      </c>
      <c r="G68" s="144" t="s">
        <v>569</v>
      </c>
      <c r="H68" s="145" t="s">
        <v>540</v>
      </c>
      <c r="I68" s="1"/>
      <c r="J68" s="14" t="s">
        <v>548</v>
      </c>
      <c r="K68" s="14" t="s">
        <v>550</v>
      </c>
      <c r="L68" t="s">
        <v>6</v>
      </c>
      <c r="M68" t="s">
        <v>7</v>
      </c>
      <c r="N68" s="43"/>
    </row>
    <row r="69" spans="1:14" x14ac:dyDescent="0.25">
      <c r="A69" s="67">
        <f>A68+1</f>
        <v>60</v>
      </c>
      <c r="D69" s="105" t="s">
        <v>489</v>
      </c>
      <c r="E69" s="106" t="s">
        <v>495</v>
      </c>
      <c r="F69" s="113" t="str">
        <f t="shared" si="14"/>
        <v>S3</v>
      </c>
      <c r="G69" t="s">
        <v>553</v>
      </c>
      <c r="H69" s="133" t="s">
        <v>540</v>
      </c>
      <c r="I69" s="1"/>
      <c r="J69" s="14" t="s">
        <v>549</v>
      </c>
      <c r="K69" s="14" t="s">
        <v>550</v>
      </c>
      <c r="L69" t="s">
        <v>6</v>
      </c>
      <c r="M69" t="s">
        <v>7</v>
      </c>
      <c r="N69" s="43"/>
    </row>
    <row r="70" spans="1:14" x14ac:dyDescent="0.25">
      <c r="A70" s="90"/>
      <c r="B70" s="35"/>
      <c r="C70" s="35"/>
      <c r="D70" s="8"/>
      <c r="E70" s="35"/>
      <c r="F70" s="35"/>
      <c r="G70" s="35"/>
      <c r="H70" s="133" t="s">
        <v>540</v>
      </c>
      <c r="I70" s="91" t="s">
        <v>480</v>
      </c>
      <c r="J70" s="34"/>
      <c r="K70" s="35"/>
      <c r="L70" s="35"/>
      <c r="M70" s="35"/>
      <c r="N70" s="94"/>
    </row>
    <row r="71" spans="1:14" x14ac:dyDescent="0.25">
      <c r="A71" s="72">
        <f>A69+1</f>
        <v>61</v>
      </c>
      <c r="B71" s="68" t="s">
        <v>539</v>
      </c>
      <c r="C71" s="68"/>
      <c r="D71" s="105" t="s">
        <v>489</v>
      </c>
      <c r="E71" s="106" t="s">
        <v>487</v>
      </c>
      <c r="F71" s="106" t="s">
        <v>490</v>
      </c>
      <c r="G71" t="s">
        <v>533</v>
      </c>
      <c r="H71" s="133" t="s">
        <v>540</v>
      </c>
      <c r="I71" s="1"/>
      <c r="J71" s="14" t="s">
        <v>469</v>
      </c>
      <c r="K71" t="s">
        <v>420</v>
      </c>
      <c r="L71" t="s">
        <v>6</v>
      </c>
      <c r="M71" t="s">
        <v>7</v>
      </c>
      <c r="N71" s="43" t="s">
        <v>346</v>
      </c>
    </row>
    <row r="72" spans="1:14" x14ac:dyDescent="0.25">
      <c r="A72" s="72">
        <f>A71+1</f>
        <v>62</v>
      </c>
      <c r="B72" s="68" t="s">
        <v>539</v>
      </c>
      <c r="C72" s="69"/>
      <c r="D72" s="111" t="s">
        <v>486</v>
      </c>
      <c r="E72" s="106" t="s">
        <v>493</v>
      </c>
      <c r="F72" s="106" t="s">
        <v>488</v>
      </c>
      <c r="G72" t="s">
        <v>492</v>
      </c>
      <c r="H72" s="131" t="s">
        <v>538</v>
      </c>
      <c r="I72" s="1"/>
      <c r="J72" s="14" t="s">
        <v>345</v>
      </c>
      <c r="K72" t="s">
        <v>381</v>
      </c>
      <c r="L72" t="s">
        <v>6</v>
      </c>
      <c r="M72" t="s">
        <v>7</v>
      </c>
      <c r="N72" s="43" t="s">
        <v>363</v>
      </c>
    </row>
    <row r="73" spans="1:14" x14ac:dyDescent="0.25">
      <c r="A73" s="72">
        <f>A72+1</f>
        <v>63</v>
      </c>
      <c r="D73" s="118" t="s">
        <v>429</v>
      </c>
      <c r="E73" s="119" t="s">
        <v>429</v>
      </c>
      <c r="F73" s="119" t="s">
        <v>429</v>
      </c>
      <c r="G73" s="119" t="s">
        <v>429</v>
      </c>
      <c r="H73" s="138" t="s">
        <v>542</v>
      </c>
      <c r="I73" s="1"/>
      <c r="J73" s="14" t="s">
        <v>408</v>
      </c>
      <c r="K73" s="14" t="s">
        <v>411</v>
      </c>
      <c r="L73" t="s">
        <v>6</v>
      </c>
      <c r="M73" t="s">
        <v>7</v>
      </c>
      <c r="N73" s="43"/>
    </row>
    <row r="74" spans="1:14" x14ac:dyDescent="0.25">
      <c r="A74" s="90"/>
      <c r="B74" s="35"/>
      <c r="C74" s="35"/>
      <c r="D74" s="8"/>
      <c r="E74" s="35"/>
      <c r="F74" s="35"/>
      <c r="G74" s="35"/>
      <c r="H74" s="133" t="s">
        <v>540</v>
      </c>
      <c r="I74" s="91" t="s">
        <v>479</v>
      </c>
      <c r="J74" s="34"/>
      <c r="K74" s="35"/>
      <c r="L74" s="35"/>
      <c r="M74" s="35"/>
      <c r="N74" s="94"/>
    </row>
    <row r="75" spans="1:14" x14ac:dyDescent="0.25">
      <c r="A75" s="67">
        <f>A73+1</f>
        <v>64</v>
      </c>
      <c r="B75" s="26"/>
      <c r="D75" s="118" t="s">
        <v>429</v>
      </c>
      <c r="E75" s="119" t="s">
        <v>429</v>
      </c>
      <c r="F75" s="119" t="s">
        <v>429</v>
      </c>
      <c r="G75" s="119" t="s">
        <v>429</v>
      </c>
      <c r="H75" s="138" t="s">
        <v>542</v>
      </c>
      <c r="I75" s="1"/>
      <c r="J75" s="15" t="s">
        <v>521</v>
      </c>
      <c r="K75" s="14" t="s">
        <v>411</v>
      </c>
      <c r="L75" t="s">
        <v>6</v>
      </c>
      <c r="M75" t="s">
        <v>7</v>
      </c>
      <c r="N75" s="22" t="s">
        <v>366</v>
      </c>
    </row>
    <row r="76" spans="1:14" x14ac:dyDescent="0.25">
      <c r="A76" s="67">
        <f>A75+1</f>
        <v>65</v>
      </c>
      <c r="B76" s="26"/>
      <c r="D76" s="118" t="s">
        <v>429</v>
      </c>
      <c r="E76" s="119" t="s">
        <v>429</v>
      </c>
      <c r="F76" s="119" t="s">
        <v>429</v>
      </c>
      <c r="G76" s="119" t="s">
        <v>429</v>
      </c>
      <c r="H76" s="138" t="s">
        <v>542</v>
      </c>
      <c r="I76" s="1"/>
      <c r="J76" s="15" t="s">
        <v>522</v>
      </c>
      <c r="K76" s="14" t="s">
        <v>411</v>
      </c>
      <c r="L76" t="s">
        <v>6</v>
      </c>
      <c r="M76" t="s">
        <v>7</v>
      </c>
      <c r="N76" s="22" t="s">
        <v>442</v>
      </c>
    </row>
    <row r="77" spans="1:14" x14ac:dyDescent="0.25">
      <c r="A77" s="67">
        <f t="shared" ref="A77:A78" si="15">A76+1</f>
        <v>66</v>
      </c>
      <c r="B77" s="26"/>
      <c r="D77" s="118" t="s">
        <v>429</v>
      </c>
      <c r="E77" s="119" t="s">
        <v>429</v>
      </c>
      <c r="F77" s="119" t="s">
        <v>429</v>
      </c>
      <c r="G77" s="119" t="s">
        <v>429</v>
      </c>
      <c r="H77" s="138" t="s">
        <v>542</v>
      </c>
      <c r="I77" s="1"/>
      <c r="J77" s="15" t="s">
        <v>523</v>
      </c>
      <c r="K77" s="26" t="s">
        <v>435</v>
      </c>
      <c r="L77" t="s">
        <v>6</v>
      </c>
      <c r="M77" t="s">
        <v>7</v>
      </c>
      <c r="N77" s="22" t="s">
        <v>445</v>
      </c>
    </row>
    <row r="78" spans="1:14" x14ac:dyDescent="0.25">
      <c r="A78" s="67">
        <f t="shared" si="15"/>
        <v>67</v>
      </c>
      <c r="B78" s="68" t="s">
        <v>539</v>
      </c>
      <c r="C78" s="68"/>
      <c r="D78" s="111" t="s">
        <v>510</v>
      </c>
      <c r="E78" s="106" t="s">
        <v>487</v>
      </c>
      <c r="F78" s="106" t="s">
        <v>511</v>
      </c>
      <c r="G78" t="s">
        <v>541</v>
      </c>
      <c r="H78" s="133" t="s">
        <v>540</v>
      </c>
      <c r="I78" s="1"/>
      <c r="J78" s="14" t="s">
        <v>347</v>
      </c>
      <c r="K78" s="14" t="s">
        <v>382</v>
      </c>
      <c r="L78" t="s">
        <v>6</v>
      </c>
      <c r="M78" t="s">
        <v>7</v>
      </c>
      <c r="N78" s="22">
        <v>7</v>
      </c>
    </row>
    <row r="79" spans="1:14" x14ac:dyDescent="0.25">
      <c r="A79" s="72">
        <f>A78+1</f>
        <v>68</v>
      </c>
      <c r="D79" s="111" t="s">
        <v>510</v>
      </c>
      <c r="E79" s="106" t="s">
        <v>487</v>
      </c>
      <c r="F79" s="106" t="s">
        <v>511</v>
      </c>
      <c r="G79" s="26" t="s">
        <v>541</v>
      </c>
      <c r="H79" s="133" t="s">
        <v>540</v>
      </c>
      <c r="I79" s="1"/>
      <c r="J79" s="14" t="s">
        <v>395</v>
      </c>
      <c r="K79" s="14" t="s">
        <v>382</v>
      </c>
      <c r="L79" t="s">
        <v>6</v>
      </c>
      <c r="M79" t="s">
        <v>7</v>
      </c>
      <c r="N79" s="22"/>
    </row>
    <row r="80" spans="1:14" x14ac:dyDescent="0.25">
      <c r="A80" s="90"/>
      <c r="B80" s="35"/>
      <c r="C80" s="35"/>
      <c r="D80" s="8"/>
      <c r="E80" s="35"/>
      <c r="F80" s="35"/>
      <c r="G80" s="35"/>
      <c r="H80" s="133" t="s">
        <v>540</v>
      </c>
      <c r="I80" s="8" t="s">
        <v>477</v>
      </c>
      <c r="J80" s="34"/>
      <c r="K80" s="35"/>
      <c r="L80" s="35"/>
      <c r="M80" s="35"/>
      <c r="N80" s="94"/>
    </row>
    <row r="81" spans="1:14" x14ac:dyDescent="0.25">
      <c r="A81" s="72">
        <f>A79+1</f>
        <v>69</v>
      </c>
      <c r="B81" s="68" t="s">
        <v>539</v>
      </c>
      <c r="C81" s="69"/>
      <c r="D81" s="118" t="s">
        <v>429</v>
      </c>
      <c r="E81" s="119" t="s">
        <v>429</v>
      </c>
      <c r="F81" s="119" t="s">
        <v>429</v>
      </c>
      <c r="G81" s="119" t="s">
        <v>429</v>
      </c>
      <c r="H81" s="138" t="s">
        <v>542</v>
      </c>
      <c r="I81" s="1"/>
      <c r="J81" s="14" t="s">
        <v>189</v>
      </c>
      <c r="K81" t="s">
        <v>435</v>
      </c>
      <c r="L81" t="s">
        <v>6</v>
      </c>
      <c r="M81" t="s">
        <v>7</v>
      </c>
      <c r="N81" s="22" t="s">
        <v>369</v>
      </c>
    </row>
    <row r="82" spans="1:14" x14ac:dyDescent="0.25">
      <c r="A82" s="72">
        <f>A81+1</f>
        <v>70</v>
      </c>
      <c r="D82" s="112" t="s">
        <v>486</v>
      </c>
      <c r="E82" s="113" t="s">
        <v>487</v>
      </c>
      <c r="F82" s="113" t="s">
        <v>488</v>
      </c>
      <c r="G82" s="26" t="s">
        <v>525</v>
      </c>
      <c r="H82" s="133" t="s">
        <v>540</v>
      </c>
      <c r="I82" s="1"/>
      <c r="J82" s="14" t="s">
        <v>370</v>
      </c>
      <c r="K82" t="s">
        <v>420</v>
      </c>
      <c r="L82" t="s">
        <v>6</v>
      </c>
      <c r="M82" t="s">
        <v>7</v>
      </c>
      <c r="N82" s="22"/>
    </row>
    <row r="83" spans="1:14" x14ac:dyDescent="0.25">
      <c r="A83" s="72">
        <f t="shared" ref="A83:A85" si="16">A82+1</f>
        <v>71</v>
      </c>
      <c r="D83" s="112" t="s">
        <v>486</v>
      </c>
      <c r="E83" s="113" t="s">
        <v>487</v>
      </c>
      <c r="F83" s="113" t="s">
        <v>488</v>
      </c>
      <c r="G83" s="26" t="s">
        <v>529</v>
      </c>
      <c r="H83" s="133" t="s">
        <v>540</v>
      </c>
      <c r="I83" s="1"/>
      <c r="J83" s="14" t="s">
        <v>104</v>
      </c>
      <c r="K83" s="14" t="s">
        <v>381</v>
      </c>
      <c r="L83" t="s">
        <v>6</v>
      </c>
      <c r="M83" t="s">
        <v>7</v>
      </c>
      <c r="N83" s="22"/>
    </row>
    <row r="84" spans="1:14" x14ac:dyDescent="0.25">
      <c r="A84" s="72">
        <f t="shared" si="16"/>
        <v>72</v>
      </c>
      <c r="D84" s="105" t="s">
        <v>486</v>
      </c>
      <c r="E84" s="117" t="s">
        <v>487</v>
      </c>
      <c r="F84" s="123" t="s">
        <v>488</v>
      </c>
      <c r="G84" s="129" t="s">
        <v>517</v>
      </c>
      <c r="H84" s="133" t="s">
        <v>540</v>
      </c>
      <c r="I84" s="1"/>
      <c r="J84" s="14" t="s">
        <v>252</v>
      </c>
      <c r="K84" s="14" t="s">
        <v>383</v>
      </c>
      <c r="L84" t="s">
        <v>105</v>
      </c>
      <c r="M84" t="s">
        <v>7</v>
      </c>
      <c r="N84" s="22"/>
    </row>
    <row r="85" spans="1:14" x14ac:dyDescent="0.25">
      <c r="A85" s="72">
        <f t="shared" si="16"/>
        <v>73</v>
      </c>
      <c r="D85" s="105" t="s">
        <v>486</v>
      </c>
      <c r="E85" s="117" t="s">
        <v>487</v>
      </c>
      <c r="F85" s="123" t="s">
        <v>488</v>
      </c>
      <c r="G85" s="129" t="s">
        <v>517</v>
      </c>
      <c r="H85" s="131" t="s">
        <v>538</v>
      </c>
      <c r="I85" s="1"/>
      <c r="J85" s="14" t="s">
        <v>253</v>
      </c>
      <c r="K85" s="14" t="s">
        <v>381</v>
      </c>
      <c r="L85" t="s">
        <v>371</v>
      </c>
      <c r="M85" t="s">
        <v>7</v>
      </c>
      <c r="N85" s="22"/>
    </row>
    <row r="86" spans="1:14" x14ac:dyDescent="0.25">
      <c r="A86" s="90"/>
      <c r="B86" s="35"/>
      <c r="C86" s="35"/>
      <c r="D86" s="8"/>
      <c r="E86" s="35"/>
      <c r="F86" s="35"/>
      <c r="G86" s="35"/>
      <c r="H86" s="35"/>
      <c r="I86" s="91" t="s">
        <v>475</v>
      </c>
      <c r="J86" s="34"/>
      <c r="K86" s="35"/>
      <c r="L86" s="35"/>
      <c r="M86" s="35"/>
      <c r="N86" s="94"/>
    </row>
    <row r="87" spans="1:14" ht="16.5" customHeight="1" x14ac:dyDescent="0.25">
      <c r="A87" s="72">
        <f>A85+1</f>
        <v>74</v>
      </c>
      <c r="D87" s="118" t="s">
        <v>429</v>
      </c>
      <c r="E87" s="119" t="s">
        <v>429</v>
      </c>
      <c r="F87" s="119" t="s">
        <v>429</v>
      </c>
      <c r="G87" s="119" t="s">
        <v>429</v>
      </c>
      <c r="H87" s="138" t="s">
        <v>542</v>
      </c>
      <c r="I87" s="1"/>
      <c r="J87" s="14" t="s">
        <v>436</v>
      </c>
      <c r="K87" s="14" t="s">
        <v>383</v>
      </c>
      <c r="L87" t="s">
        <v>147</v>
      </c>
      <c r="M87" t="s">
        <v>7</v>
      </c>
      <c r="N87" s="53"/>
    </row>
    <row r="88" spans="1:14" x14ac:dyDescent="0.25">
      <c r="A88" s="72">
        <f t="shared" ref="A88:A89" si="17">A87+1</f>
        <v>75</v>
      </c>
      <c r="D88" s="105" t="s">
        <v>489</v>
      </c>
      <c r="E88" s="106" t="s">
        <v>495</v>
      </c>
      <c r="F88" s="117" t="s">
        <v>490</v>
      </c>
      <c r="G88" t="s">
        <v>530</v>
      </c>
      <c r="H88" s="131" t="s">
        <v>538</v>
      </c>
      <c r="I88" s="1"/>
      <c r="J88" s="15" t="s">
        <v>393</v>
      </c>
      <c r="K88" t="s">
        <v>420</v>
      </c>
      <c r="L88" t="s">
        <v>6</v>
      </c>
      <c r="M88" t="s">
        <v>7</v>
      </c>
      <c r="N88" s="53"/>
    </row>
    <row r="89" spans="1:14" x14ac:dyDescent="0.25">
      <c r="A89" s="72">
        <f t="shared" si="17"/>
        <v>76</v>
      </c>
      <c r="D89" s="105" t="s">
        <v>489</v>
      </c>
      <c r="E89" s="106" t="s">
        <v>487</v>
      </c>
      <c r="F89" s="106" t="s">
        <v>490</v>
      </c>
      <c r="G89" t="s">
        <v>401</v>
      </c>
      <c r="H89" s="133" t="s">
        <v>540</v>
      </c>
      <c r="I89" s="1"/>
      <c r="J89" s="14" t="s">
        <v>418</v>
      </c>
      <c r="K89" s="15" t="s">
        <v>419</v>
      </c>
      <c r="L89" t="s">
        <v>6</v>
      </c>
      <c r="M89" t="s">
        <v>7</v>
      </c>
      <c r="N89" s="43"/>
    </row>
    <row r="90" spans="1:14" x14ac:dyDescent="0.25">
      <c r="A90" s="93"/>
      <c r="B90" s="35"/>
      <c r="C90" s="35"/>
      <c r="D90" s="8"/>
      <c r="E90" s="35"/>
      <c r="F90" s="35"/>
      <c r="G90" s="35"/>
      <c r="H90" s="35"/>
      <c r="I90" s="91" t="s">
        <v>476</v>
      </c>
      <c r="J90" s="35"/>
      <c r="K90" s="34"/>
      <c r="L90" s="35"/>
      <c r="M90" s="35"/>
      <c r="N90" s="95"/>
    </row>
    <row r="91" spans="1:14" ht="15" customHeight="1" x14ac:dyDescent="0.25">
      <c r="A91" s="72">
        <f>A89+1</f>
        <v>77</v>
      </c>
      <c r="B91" s="68" t="s">
        <v>539</v>
      </c>
      <c r="C91" s="92" t="s">
        <v>527</v>
      </c>
      <c r="D91" s="118" t="s">
        <v>429</v>
      </c>
      <c r="E91" s="119" t="s">
        <v>429</v>
      </c>
      <c r="F91" s="119" t="s">
        <v>429</v>
      </c>
      <c r="G91" s="119" t="s">
        <v>429</v>
      </c>
      <c r="H91" s="138" t="s">
        <v>542</v>
      </c>
      <c r="I91" s="1"/>
      <c r="J91" s="14" t="s">
        <v>406</v>
      </c>
      <c r="K91" s="14" t="s">
        <v>382</v>
      </c>
      <c r="L91" t="s">
        <v>373</v>
      </c>
      <c r="M91" t="s">
        <v>7</v>
      </c>
      <c r="N91" s="43">
        <v>1</v>
      </c>
    </row>
    <row r="92" spans="1:14" ht="15" customHeight="1" x14ac:dyDescent="0.25">
      <c r="A92" s="72">
        <f>A91+1</f>
        <v>78</v>
      </c>
      <c r="D92" s="112" t="s">
        <v>489</v>
      </c>
      <c r="E92" s="113" t="s">
        <v>487</v>
      </c>
      <c r="F92" s="113" t="s">
        <v>490</v>
      </c>
      <c r="G92" t="s">
        <v>494</v>
      </c>
      <c r="H92" s="131" t="s">
        <v>538</v>
      </c>
      <c r="I92" s="1"/>
      <c r="J92" s="15" t="s">
        <v>558</v>
      </c>
      <c r="K92" t="s">
        <v>420</v>
      </c>
      <c r="L92" t="s">
        <v>6</v>
      </c>
      <c r="M92" t="s">
        <v>7</v>
      </c>
      <c r="N92" s="45" t="s">
        <v>346</v>
      </c>
    </row>
    <row r="93" spans="1:14" ht="15" customHeight="1" x14ac:dyDescent="0.25">
      <c r="A93" s="72">
        <f t="shared" ref="A93:A97" si="18">A92+1</f>
        <v>79</v>
      </c>
      <c r="D93" s="112" t="s">
        <v>489</v>
      </c>
      <c r="E93" s="113" t="s">
        <v>487</v>
      </c>
      <c r="F93" s="113" t="s">
        <v>490</v>
      </c>
      <c r="G93" t="s">
        <v>494</v>
      </c>
      <c r="H93" s="131" t="s">
        <v>538</v>
      </c>
      <c r="I93" s="1"/>
      <c r="J93" s="15" t="s">
        <v>551</v>
      </c>
      <c r="K93" s="15" t="s">
        <v>552</v>
      </c>
      <c r="L93" t="s">
        <v>6</v>
      </c>
      <c r="M93" t="s">
        <v>7</v>
      </c>
      <c r="N93" s="45" t="s">
        <v>532</v>
      </c>
    </row>
    <row r="94" spans="1:14" ht="15" customHeight="1" x14ac:dyDescent="0.25">
      <c r="A94" s="72">
        <f t="shared" si="18"/>
        <v>80</v>
      </c>
      <c r="D94" s="105" t="s">
        <v>489</v>
      </c>
      <c r="E94" s="106" t="s">
        <v>487</v>
      </c>
      <c r="F94" s="106" t="s">
        <v>490</v>
      </c>
      <c r="G94" t="s">
        <v>554</v>
      </c>
      <c r="H94" s="131" t="s">
        <v>538</v>
      </c>
      <c r="I94" s="1"/>
      <c r="J94" s="15" t="s">
        <v>555</v>
      </c>
      <c r="K94" t="s">
        <v>420</v>
      </c>
      <c r="L94" t="s">
        <v>6</v>
      </c>
      <c r="M94" t="s">
        <v>7</v>
      </c>
      <c r="N94" s="45" t="s">
        <v>169</v>
      </c>
    </row>
    <row r="95" spans="1:14" ht="15" customHeight="1" x14ac:dyDescent="0.25">
      <c r="A95" s="72">
        <f t="shared" si="18"/>
        <v>81</v>
      </c>
      <c r="D95" s="105" t="s">
        <v>489</v>
      </c>
      <c r="E95" s="106" t="s">
        <v>487</v>
      </c>
      <c r="F95" s="106" t="s">
        <v>490</v>
      </c>
      <c r="G95" t="s">
        <v>554</v>
      </c>
      <c r="H95" s="131" t="s">
        <v>538</v>
      </c>
      <c r="I95" s="1"/>
      <c r="J95" s="15" t="s">
        <v>559</v>
      </c>
      <c r="K95" s="15" t="s">
        <v>560</v>
      </c>
      <c r="L95" t="s">
        <v>6</v>
      </c>
      <c r="M95" t="s">
        <v>7</v>
      </c>
      <c r="N95" s="45"/>
    </row>
    <row r="96" spans="1:14" ht="15" customHeight="1" x14ac:dyDescent="0.25">
      <c r="A96" s="72">
        <f t="shared" si="18"/>
        <v>82</v>
      </c>
      <c r="D96" s="111" t="s">
        <v>515</v>
      </c>
      <c r="E96" s="106" t="s">
        <v>493</v>
      </c>
      <c r="F96" s="106" t="s">
        <v>488</v>
      </c>
      <c r="G96" t="s">
        <v>531</v>
      </c>
      <c r="H96" s="131" t="s">
        <v>538</v>
      </c>
      <c r="I96" s="1"/>
      <c r="J96" s="15" t="s">
        <v>556</v>
      </c>
      <c r="K96" t="s">
        <v>420</v>
      </c>
      <c r="L96" t="s">
        <v>6</v>
      </c>
      <c r="M96" t="s">
        <v>7</v>
      </c>
      <c r="N96" s="45" t="s">
        <v>346</v>
      </c>
    </row>
    <row r="97" spans="1:14" ht="15" customHeight="1" x14ac:dyDescent="0.25">
      <c r="A97" s="72">
        <f t="shared" si="18"/>
        <v>83</v>
      </c>
      <c r="D97" s="111" t="s">
        <v>515</v>
      </c>
      <c r="E97" s="106" t="s">
        <v>493</v>
      </c>
      <c r="F97" s="106" t="s">
        <v>488</v>
      </c>
      <c r="G97" t="s">
        <v>531</v>
      </c>
      <c r="H97" s="131" t="s">
        <v>538</v>
      </c>
      <c r="I97" s="1"/>
      <c r="J97" s="15" t="s">
        <v>557</v>
      </c>
      <c r="K97" s="15" t="s">
        <v>561</v>
      </c>
      <c r="L97" t="s">
        <v>6</v>
      </c>
      <c r="M97" t="s">
        <v>7</v>
      </c>
      <c r="N97" s="45" t="s">
        <v>532</v>
      </c>
    </row>
    <row r="98" spans="1:14" x14ac:dyDescent="0.25">
      <c r="A98" s="125"/>
      <c r="B98" s="54" t="s">
        <v>405</v>
      </c>
      <c r="C98" s="54"/>
      <c r="D98" s="126"/>
      <c r="E98" s="54"/>
      <c r="F98" s="54"/>
      <c r="G98" s="54"/>
      <c r="H98" s="133"/>
      <c r="I98" s="126"/>
      <c r="J98" s="127"/>
      <c r="K98" s="127"/>
      <c r="L98" s="54"/>
      <c r="M98" s="54"/>
      <c r="N98" s="128"/>
    </row>
    <row r="99" spans="1:14" x14ac:dyDescent="0.25">
      <c r="A99" s="75"/>
      <c r="B99" s="76"/>
      <c r="C99" s="76"/>
      <c r="D99" s="77"/>
      <c r="E99" s="76"/>
      <c r="F99" s="76"/>
      <c r="G99" s="76"/>
      <c r="H99" s="134"/>
      <c r="I99" s="124" t="s">
        <v>534</v>
      </c>
      <c r="J99" s="76"/>
      <c r="K99" s="76"/>
      <c r="L99" s="76"/>
      <c r="M99" s="76"/>
      <c r="N99" s="78"/>
    </row>
    <row r="100" spans="1:14" x14ac:dyDescent="0.25">
      <c r="A100" s="79"/>
      <c r="B100" s="80"/>
      <c r="C100" s="80"/>
      <c r="D100" s="114" t="s">
        <v>489</v>
      </c>
      <c r="E100" s="115" t="s">
        <v>487</v>
      </c>
      <c r="F100" s="116" t="s">
        <v>490</v>
      </c>
      <c r="G100" s="80" t="s">
        <v>402</v>
      </c>
      <c r="H100" s="135"/>
      <c r="I100" s="81"/>
      <c r="J100" s="82" t="s">
        <v>350</v>
      </c>
      <c r="K100" s="82" t="s">
        <v>383</v>
      </c>
      <c r="L100" s="80" t="s">
        <v>86</v>
      </c>
      <c r="M100" s="80" t="s">
        <v>7</v>
      </c>
      <c r="N100" s="43"/>
    </row>
    <row r="101" spans="1:14" x14ac:dyDescent="0.25">
      <c r="A101" s="79"/>
      <c r="B101" s="83"/>
      <c r="C101" s="83"/>
      <c r="D101" s="114" t="s">
        <v>486</v>
      </c>
      <c r="E101" s="115" t="s">
        <v>493</v>
      </c>
      <c r="F101" s="116" t="s">
        <v>488</v>
      </c>
      <c r="G101" s="80" t="s">
        <v>496</v>
      </c>
      <c r="H101" s="135"/>
      <c r="I101" s="81"/>
      <c r="J101" s="82" t="s">
        <v>349</v>
      </c>
      <c r="K101" s="82" t="s">
        <v>383</v>
      </c>
      <c r="L101" s="80" t="s">
        <v>86</v>
      </c>
      <c r="M101" s="80" t="s">
        <v>7</v>
      </c>
      <c r="N101" s="43"/>
    </row>
    <row r="102" spans="1:14" x14ac:dyDescent="0.25">
      <c r="A102" s="79"/>
      <c r="B102" s="80"/>
      <c r="C102" s="80"/>
      <c r="D102" s="81"/>
      <c r="E102" s="80"/>
      <c r="F102" s="80"/>
      <c r="G102" s="80"/>
      <c r="H102" s="135"/>
      <c r="I102" s="81"/>
      <c r="J102" s="82" t="s">
        <v>114</v>
      </c>
      <c r="K102" s="82" t="s">
        <v>76</v>
      </c>
      <c r="L102" s="80" t="s">
        <v>76</v>
      </c>
      <c r="M102" s="80" t="s">
        <v>7</v>
      </c>
      <c r="N102" s="43"/>
    </row>
    <row r="103" spans="1:14" x14ac:dyDescent="0.25">
      <c r="A103" s="79"/>
      <c r="B103" s="80"/>
      <c r="C103" s="80"/>
      <c r="D103" s="81"/>
      <c r="E103" s="80"/>
      <c r="F103" s="80"/>
      <c r="G103" s="80"/>
      <c r="H103" s="135"/>
      <c r="I103" s="81"/>
      <c r="J103" s="80" t="s">
        <v>115</v>
      </c>
      <c r="K103" s="80" t="s">
        <v>76</v>
      </c>
      <c r="L103" s="80" t="s">
        <v>76</v>
      </c>
      <c r="M103" s="80" t="s">
        <v>7</v>
      </c>
      <c r="N103" s="43"/>
    </row>
    <row r="104" spans="1:14" x14ac:dyDescent="0.25">
      <c r="A104" s="75"/>
      <c r="B104" s="76"/>
      <c r="C104" s="76"/>
      <c r="D104" s="77"/>
      <c r="E104" s="76"/>
      <c r="F104" s="76"/>
      <c r="G104" s="130"/>
      <c r="H104" s="136"/>
      <c r="I104" s="124" t="s">
        <v>478</v>
      </c>
      <c r="J104" s="76"/>
      <c r="K104" s="76"/>
      <c r="L104" s="76"/>
      <c r="M104" s="76"/>
      <c r="N104" s="78"/>
    </row>
    <row r="105" spans="1:14" x14ac:dyDescent="0.25">
      <c r="A105" s="79"/>
      <c r="B105" s="80"/>
      <c r="C105" s="80"/>
      <c r="D105" s="81"/>
      <c r="E105" s="80"/>
      <c r="F105" s="80"/>
      <c r="G105" s="80"/>
      <c r="H105" s="135"/>
      <c r="I105" s="81"/>
      <c r="J105" s="82" t="s">
        <v>241</v>
      </c>
      <c r="K105" s="80" t="s">
        <v>381</v>
      </c>
      <c r="L105" s="80" t="s">
        <v>6</v>
      </c>
      <c r="M105" s="80" t="s">
        <v>7</v>
      </c>
      <c r="N105" s="50" t="s">
        <v>339</v>
      </c>
    </row>
    <row r="106" spans="1:14" x14ac:dyDescent="0.25">
      <c r="A106" s="79"/>
      <c r="B106" s="84"/>
      <c r="C106" s="84"/>
      <c r="D106" s="109"/>
      <c r="E106" s="84"/>
      <c r="F106" s="84"/>
      <c r="G106" s="80"/>
      <c r="H106" s="135"/>
      <c r="I106" s="81"/>
      <c r="J106" s="82" t="s">
        <v>238</v>
      </c>
      <c r="K106" s="80" t="s">
        <v>381</v>
      </c>
      <c r="L106" s="80" t="s">
        <v>6</v>
      </c>
      <c r="M106" s="80" t="s">
        <v>7</v>
      </c>
      <c r="N106" s="50">
        <v>34933662100</v>
      </c>
    </row>
    <row r="107" spans="1:14" x14ac:dyDescent="0.25">
      <c r="A107" s="79"/>
      <c r="B107" s="85"/>
      <c r="C107" s="85"/>
      <c r="D107" s="110"/>
      <c r="E107" s="85"/>
      <c r="F107" s="85"/>
      <c r="G107" s="80"/>
      <c r="H107" s="135"/>
      <c r="I107" s="81"/>
      <c r="J107" s="82" t="s">
        <v>239</v>
      </c>
      <c r="K107" s="80" t="s">
        <v>381</v>
      </c>
      <c r="L107" s="80" t="s">
        <v>6</v>
      </c>
      <c r="M107" s="80" t="s">
        <v>7</v>
      </c>
      <c r="N107" s="50"/>
    </row>
    <row r="108" spans="1:14" x14ac:dyDescent="0.25">
      <c r="A108" s="79"/>
      <c r="B108" s="85"/>
      <c r="C108" s="85"/>
      <c r="D108" s="110"/>
      <c r="E108" s="85"/>
      <c r="F108" s="85"/>
      <c r="G108" s="80"/>
      <c r="H108" s="135"/>
      <c r="I108" s="81"/>
      <c r="J108" s="82" t="s">
        <v>240</v>
      </c>
      <c r="K108" s="80" t="s">
        <v>381</v>
      </c>
      <c r="L108" s="80" t="s">
        <v>6</v>
      </c>
      <c r="M108" s="80" t="s">
        <v>7</v>
      </c>
      <c r="N108" s="24" t="s">
        <v>368</v>
      </c>
    </row>
    <row r="109" spans="1:14" x14ac:dyDescent="0.25">
      <c r="A109" s="79"/>
      <c r="B109" s="80"/>
      <c r="C109" s="80"/>
      <c r="D109" s="81"/>
      <c r="E109" s="80"/>
      <c r="F109" s="80"/>
      <c r="G109" s="80"/>
      <c r="H109" s="135"/>
      <c r="I109" s="81"/>
      <c r="J109" s="82" t="s">
        <v>74</v>
      </c>
      <c r="K109" s="80" t="s">
        <v>381</v>
      </c>
      <c r="L109" s="80" t="s">
        <v>6</v>
      </c>
      <c r="M109" s="80" t="s">
        <v>7</v>
      </c>
      <c r="N109" s="22"/>
    </row>
    <row r="110" spans="1:14" x14ac:dyDescent="0.25">
      <c r="A110" s="79"/>
      <c r="B110" s="80"/>
      <c r="C110" s="80"/>
      <c r="D110" s="81"/>
      <c r="E110" s="80"/>
      <c r="F110" s="80"/>
      <c r="G110" s="80"/>
      <c r="H110" s="135"/>
      <c r="I110" s="81"/>
      <c r="J110" s="82" t="s">
        <v>242</v>
      </c>
      <c r="K110" s="80" t="s">
        <v>381</v>
      </c>
      <c r="L110" s="80" t="s">
        <v>6</v>
      </c>
      <c r="M110" s="80" t="s">
        <v>7</v>
      </c>
      <c r="N110" s="22"/>
    </row>
    <row r="111" spans="1:14" x14ac:dyDescent="0.25">
      <c r="A111" s="79"/>
      <c r="B111" s="80"/>
      <c r="C111" s="80"/>
      <c r="D111" s="81"/>
      <c r="E111" s="80"/>
      <c r="F111" s="80"/>
      <c r="G111" s="80"/>
      <c r="H111" s="135"/>
      <c r="I111" s="81"/>
      <c r="J111" s="82" t="s">
        <v>243</v>
      </c>
      <c r="K111" s="80" t="s">
        <v>381</v>
      </c>
      <c r="L111" s="80" t="s">
        <v>6</v>
      </c>
      <c r="M111" s="80" t="s">
        <v>7</v>
      </c>
      <c r="N111" s="51"/>
    </row>
    <row r="112" spans="1:14" ht="15.75" thickBot="1" x14ac:dyDescent="0.3">
      <c r="A112" s="86"/>
      <c r="B112" s="87"/>
      <c r="C112" s="87"/>
      <c r="D112" s="88"/>
      <c r="E112" s="87"/>
      <c r="F112" s="87"/>
      <c r="G112" s="87"/>
      <c r="H112" s="137"/>
      <c r="I112" s="88"/>
      <c r="J112" s="89" t="s">
        <v>244</v>
      </c>
      <c r="K112" s="87" t="s">
        <v>381</v>
      </c>
      <c r="L112" s="87" t="s">
        <v>6</v>
      </c>
      <c r="M112" s="87" t="s">
        <v>7</v>
      </c>
      <c r="N112" s="101"/>
    </row>
    <row r="113" spans="10:10" x14ac:dyDescent="0.25">
      <c r="J113" s="18"/>
    </row>
    <row r="219" spans="10:10" x14ac:dyDescent="0.25">
      <c r="J219" s="7" t="s">
        <v>19</v>
      </c>
    </row>
    <row r="220" spans="10:10" x14ac:dyDescent="0.25">
      <c r="J220" t="s">
        <v>5</v>
      </c>
    </row>
    <row r="221" spans="10:10" x14ac:dyDescent="0.25">
      <c r="J221" t="s">
        <v>116</v>
      </c>
    </row>
    <row r="222" spans="10:10" x14ac:dyDescent="0.25">
      <c r="J222" t="s">
        <v>117</v>
      </c>
    </row>
    <row r="223" spans="10:10" x14ac:dyDescent="0.25">
      <c r="J223" t="s">
        <v>118</v>
      </c>
    </row>
    <row r="224" spans="10:10" x14ac:dyDescent="0.25">
      <c r="J224" t="s">
        <v>119</v>
      </c>
    </row>
    <row r="225" spans="10:10" x14ac:dyDescent="0.25">
      <c r="J225" t="s">
        <v>120</v>
      </c>
    </row>
    <row r="226" spans="10:10" x14ac:dyDescent="0.25">
      <c r="J226" t="s">
        <v>121</v>
      </c>
    </row>
    <row r="227" spans="10:10" x14ac:dyDescent="0.25">
      <c r="J227" t="s">
        <v>122</v>
      </c>
    </row>
    <row r="228" spans="10:10" x14ac:dyDescent="0.25">
      <c r="J228" t="s">
        <v>123</v>
      </c>
    </row>
    <row r="229" spans="10:10" x14ac:dyDescent="0.25">
      <c r="J229" t="s">
        <v>124</v>
      </c>
    </row>
    <row r="230" spans="10:10" x14ac:dyDescent="0.25">
      <c r="J230" t="s">
        <v>125</v>
      </c>
    </row>
    <row r="233" spans="10:10" x14ac:dyDescent="0.25">
      <c r="J233" s="6" t="s">
        <v>38</v>
      </c>
    </row>
    <row r="234" spans="10:10" x14ac:dyDescent="0.25">
      <c r="J234" t="s">
        <v>126</v>
      </c>
    </row>
    <row r="235" spans="10:10" x14ac:dyDescent="0.25">
      <c r="J235" t="s">
        <v>127</v>
      </c>
    </row>
    <row r="236" spans="10:10" x14ac:dyDescent="0.25">
      <c r="J236" t="s">
        <v>128</v>
      </c>
    </row>
    <row r="239" spans="10:10" x14ac:dyDescent="0.25">
      <c r="J239" s="6" t="s">
        <v>129</v>
      </c>
    </row>
    <row r="240" spans="10:10" x14ac:dyDescent="0.25">
      <c r="J240" t="s">
        <v>130</v>
      </c>
    </row>
    <row r="241" spans="10:10" x14ac:dyDescent="0.25">
      <c r="J241" t="s">
        <v>131</v>
      </c>
    </row>
    <row r="242" spans="10:10" x14ac:dyDescent="0.25">
      <c r="J242" t="s">
        <v>132</v>
      </c>
    </row>
    <row r="245" spans="10:10" x14ac:dyDescent="0.25">
      <c r="J245" s="6" t="s">
        <v>81</v>
      </c>
    </row>
    <row r="246" spans="10:10" x14ac:dyDescent="0.25">
      <c r="J246" t="s">
        <v>133</v>
      </c>
    </row>
    <row r="247" spans="10:10" x14ac:dyDescent="0.25">
      <c r="J247" t="s">
        <v>134</v>
      </c>
    </row>
    <row r="248" spans="10:10" x14ac:dyDescent="0.25">
      <c r="J248" t="s">
        <v>135</v>
      </c>
    </row>
    <row r="249" spans="10:10" x14ac:dyDescent="0.25">
      <c r="J249" t="s">
        <v>136</v>
      </c>
    </row>
    <row r="251" spans="10:10" x14ac:dyDescent="0.25">
      <c r="J251" s="6" t="s">
        <v>82</v>
      </c>
    </row>
    <row r="252" spans="10:10" x14ac:dyDescent="0.25">
      <c r="J252" t="s">
        <v>137</v>
      </c>
    </row>
    <row r="253" spans="10:10" x14ac:dyDescent="0.25">
      <c r="J253" t="s">
        <v>138</v>
      </c>
    </row>
    <row r="254" spans="10:10" x14ac:dyDescent="0.25">
      <c r="J254" t="s">
        <v>139</v>
      </c>
    </row>
    <row r="255" spans="10:10" x14ac:dyDescent="0.25">
      <c r="J255" t="s">
        <v>140</v>
      </c>
    </row>
    <row r="257" spans="10:10" x14ac:dyDescent="0.25">
      <c r="J257" s="6" t="s">
        <v>83</v>
      </c>
    </row>
    <row r="258" spans="10:10" x14ac:dyDescent="0.25">
      <c r="J258" t="s">
        <v>141</v>
      </c>
    </row>
    <row r="259" spans="10:10" x14ac:dyDescent="0.25">
      <c r="J259" t="s">
        <v>142</v>
      </c>
    </row>
    <row r="260" spans="10:10" x14ac:dyDescent="0.25">
      <c r="J260" t="s">
        <v>143</v>
      </c>
    </row>
    <row r="261" spans="10:10" x14ac:dyDescent="0.25">
      <c r="J261" t="s">
        <v>144</v>
      </c>
    </row>
    <row r="264" spans="10:10" x14ac:dyDescent="0.25">
      <c r="J264" s="6" t="s">
        <v>84</v>
      </c>
    </row>
    <row r="265" spans="10:10" x14ac:dyDescent="0.25">
      <c r="J265" t="s">
        <v>145</v>
      </c>
    </row>
    <row r="266" spans="10:10" x14ac:dyDescent="0.25">
      <c r="J266" t="s">
        <v>146</v>
      </c>
    </row>
    <row r="268" spans="10:10" x14ac:dyDescent="0.25">
      <c r="J268" s="6" t="s">
        <v>87</v>
      </c>
    </row>
    <row r="269" spans="10:10" x14ac:dyDescent="0.25">
      <c r="J269" t="s">
        <v>93</v>
      </c>
    </row>
    <row r="270" spans="10:10" x14ac:dyDescent="0.25">
      <c r="J270" t="s">
        <v>95</v>
      </c>
    </row>
    <row r="271" spans="10:10" x14ac:dyDescent="0.25">
      <c r="J271" t="s">
        <v>97</v>
      </c>
    </row>
    <row r="274" spans="10:10" x14ac:dyDescent="0.25">
      <c r="J274" s="6" t="s">
        <v>93</v>
      </c>
    </row>
    <row r="275" spans="10:10" x14ac:dyDescent="0.25">
      <c r="J275" t="s">
        <v>94</v>
      </c>
    </row>
    <row r="276" spans="10:10" x14ac:dyDescent="0.25">
      <c r="J276" t="s">
        <v>96</v>
      </c>
    </row>
    <row r="277" spans="10:10" x14ac:dyDescent="0.25">
      <c r="J277" t="s">
        <v>98</v>
      </c>
    </row>
    <row r="278" spans="10:10" x14ac:dyDescent="0.25">
      <c r="J278" s="6" t="s">
        <v>95</v>
      </c>
    </row>
    <row r="279" spans="10:10" x14ac:dyDescent="0.25">
      <c r="J279" t="s">
        <v>94</v>
      </c>
    </row>
    <row r="280" spans="10:10" x14ac:dyDescent="0.25">
      <c r="J280" t="s">
        <v>96</v>
      </c>
    </row>
    <row r="281" spans="10:10" x14ac:dyDescent="0.25">
      <c r="J281" t="s">
        <v>98</v>
      </c>
    </row>
    <row r="282" spans="10:10" x14ac:dyDescent="0.25">
      <c r="J282" s="6" t="s">
        <v>97</v>
      </c>
    </row>
    <row r="283" spans="10:10" x14ac:dyDescent="0.25">
      <c r="J283" t="s">
        <v>94</v>
      </c>
    </row>
    <row r="284" spans="10:10" x14ac:dyDescent="0.25">
      <c r="J284" t="s">
        <v>96</v>
      </c>
    </row>
    <row r="285" spans="10:10" x14ac:dyDescent="0.25">
      <c r="J285" t="s">
        <v>98</v>
      </c>
    </row>
  </sheetData>
  <mergeCells count="3">
    <mergeCell ref="B1:N1"/>
    <mergeCell ref="C2:C3"/>
    <mergeCell ref="D2:H2"/>
  </mergeCells>
  <dataValidations count="1">
    <dataValidation type="list" allowBlank="1" showInputMessage="1" showErrorMessage="1" sqref="D68:E69 D31:E32 D46:E46 D34:E36 D42:E42 D59:E59 D38:E40" xr:uid="{30606B61-73B6-4E1A-AF30-D2B5D96C1B63}">
      <formula1>#REF!</formula1>
    </dataValidation>
  </dataValidations>
  <hyperlinks>
    <hyperlink ref="N108" r:id="rId1" xr:uid="{9437AAFB-D23B-4CCE-8A25-BCD48CA34EBE}"/>
    <hyperlink ref="N6" r:id="rId2" xr:uid="{E7879FDB-D6C7-402A-9552-0332F4C8334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2266-BD8E-455D-AA59-0198569E0531}">
  <dimension ref="A1:N284"/>
  <sheetViews>
    <sheetView zoomScale="85" zoomScaleNormal="85" workbookViewId="0">
      <pane xSplit="10" ySplit="3" topLeftCell="N4" activePane="bottomRight" state="frozen"/>
      <selection pane="topRight" activeCell="C1" sqref="C1"/>
      <selection pane="bottomLeft" activeCell="A3" sqref="A3"/>
      <selection pane="bottomRight" activeCell="O1" sqref="O1:O1048576"/>
    </sheetView>
  </sheetViews>
  <sheetFormatPr baseColWidth="10" defaultColWidth="9.140625" defaultRowHeight="15" x14ac:dyDescent="0.25"/>
  <cols>
    <col min="1" max="1" width="3.140625" style="67" customWidth="1"/>
    <col min="2" max="2" width="11.5703125" customWidth="1"/>
    <col min="3" max="6" width="5.42578125" customWidth="1"/>
    <col min="7" max="7" width="34.5703125" customWidth="1"/>
    <col min="8" max="8" width="9.140625" style="67" customWidth="1"/>
    <col min="9" max="9" width="3.42578125" customWidth="1"/>
    <col min="10" max="10" width="78.42578125" customWidth="1"/>
    <col min="11" max="11" width="32.5703125" customWidth="1"/>
    <col min="12" max="12" width="14.42578125" customWidth="1"/>
    <col min="13" max="13" width="43.7109375" customWidth="1"/>
    <col min="14" max="14" width="57.5703125" style="13" customWidth="1"/>
  </cols>
  <sheetData>
    <row r="1" spans="1:14" ht="15.75" thickBot="1" x14ac:dyDescent="0.3">
      <c r="A1" s="66"/>
      <c r="B1" s="146" t="s">
        <v>504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</row>
    <row r="2" spans="1:14" ht="15" customHeight="1" x14ac:dyDescent="0.25">
      <c r="A2" s="57"/>
      <c r="B2" s="56"/>
      <c r="C2" s="147" t="s">
        <v>412</v>
      </c>
      <c r="D2" s="148" t="s">
        <v>512</v>
      </c>
      <c r="E2" s="149"/>
      <c r="F2" s="149"/>
      <c r="G2" s="149"/>
      <c r="H2" s="150"/>
      <c r="I2" s="9" t="s">
        <v>497</v>
      </c>
      <c r="J2" s="10"/>
      <c r="K2" s="10"/>
      <c r="L2" s="10"/>
      <c r="M2" s="10"/>
      <c r="N2" s="58" t="s">
        <v>498</v>
      </c>
    </row>
    <row r="3" spans="1:14" x14ac:dyDescent="0.25">
      <c r="A3" s="57" t="s">
        <v>396</v>
      </c>
      <c r="B3" s="57" t="s">
        <v>372</v>
      </c>
      <c r="C3" s="147"/>
      <c r="D3" s="71" t="s">
        <v>336</v>
      </c>
      <c r="E3" s="104" t="s">
        <v>483</v>
      </c>
      <c r="F3" s="104" t="s">
        <v>484</v>
      </c>
      <c r="G3" s="57" t="s">
        <v>513</v>
      </c>
      <c r="H3" s="107" t="s">
        <v>537</v>
      </c>
      <c r="I3" s="8"/>
      <c r="J3" s="11" t="s">
        <v>506</v>
      </c>
      <c r="K3" s="11" t="s">
        <v>508</v>
      </c>
      <c r="L3" s="11" t="s">
        <v>507</v>
      </c>
      <c r="M3" s="11" t="s">
        <v>509</v>
      </c>
      <c r="N3" s="41" t="s">
        <v>499</v>
      </c>
    </row>
    <row r="4" spans="1:14" x14ac:dyDescent="0.25">
      <c r="A4" s="93"/>
      <c r="B4" s="35"/>
      <c r="C4" s="35"/>
      <c r="D4" s="8"/>
      <c r="E4" s="35"/>
      <c r="F4" s="35"/>
      <c r="G4" s="35"/>
      <c r="H4" s="132"/>
      <c r="I4" s="8" t="s">
        <v>470</v>
      </c>
      <c r="J4" s="35"/>
      <c r="K4" s="35"/>
      <c r="L4" s="35"/>
      <c r="M4" s="35"/>
      <c r="N4" s="42"/>
    </row>
    <row r="5" spans="1:14" x14ac:dyDescent="0.25">
      <c r="A5" s="72">
        <v>1</v>
      </c>
      <c r="B5" s="68" t="s">
        <v>539</v>
      </c>
      <c r="C5" s="68"/>
      <c r="D5" s="118" t="s">
        <v>429</v>
      </c>
      <c r="E5" s="119" t="s">
        <v>429</v>
      </c>
      <c r="F5" s="119" t="s">
        <v>429</v>
      </c>
      <c r="G5" s="119" t="s">
        <v>429</v>
      </c>
      <c r="H5" s="138" t="s">
        <v>542</v>
      </c>
      <c r="I5" s="1"/>
      <c r="J5" t="s">
        <v>424</v>
      </c>
      <c r="K5" s="27" t="s">
        <v>425</v>
      </c>
      <c r="L5" t="s">
        <v>6</v>
      </c>
      <c r="M5" t="s">
        <v>7</v>
      </c>
      <c r="N5" s="43" t="s">
        <v>187</v>
      </c>
    </row>
    <row r="6" spans="1:14" ht="15" customHeight="1" x14ac:dyDescent="0.25">
      <c r="A6" s="67">
        <f>A5+1</f>
        <v>2</v>
      </c>
      <c r="B6" s="68" t="s">
        <v>539</v>
      </c>
      <c r="C6" s="17"/>
      <c r="D6" s="118" t="s">
        <v>429</v>
      </c>
      <c r="E6" s="119" t="s">
        <v>429</v>
      </c>
      <c r="F6" s="119" t="s">
        <v>429</v>
      </c>
      <c r="G6" s="119" t="s">
        <v>429</v>
      </c>
      <c r="H6" s="138" t="s">
        <v>542</v>
      </c>
      <c r="I6" s="122"/>
      <c r="J6" s="26" t="s">
        <v>526</v>
      </c>
      <c r="K6" s="64" t="s">
        <v>524</v>
      </c>
      <c r="L6" s="26" t="s">
        <v>6</v>
      </c>
      <c r="M6" s="26" t="s">
        <v>7</v>
      </c>
      <c r="N6" s="48" t="s">
        <v>600</v>
      </c>
    </row>
    <row r="7" spans="1:14" x14ac:dyDescent="0.25">
      <c r="A7" s="96">
        <f>A6+1</f>
        <v>3</v>
      </c>
      <c r="B7" s="97" t="s">
        <v>539</v>
      </c>
      <c r="C7" s="98"/>
      <c r="D7" s="120" t="s">
        <v>429</v>
      </c>
      <c r="E7" s="121" t="s">
        <v>429</v>
      </c>
      <c r="F7" s="121" t="s">
        <v>429</v>
      </c>
      <c r="G7" s="121" t="s">
        <v>429</v>
      </c>
      <c r="H7" s="138" t="s">
        <v>542</v>
      </c>
      <c r="I7" s="81"/>
      <c r="J7" s="80" t="s">
        <v>0</v>
      </c>
      <c r="K7" s="99" t="s">
        <v>421</v>
      </c>
      <c r="L7" s="80" t="s">
        <v>6</v>
      </c>
      <c r="M7" s="80" t="s">
        <v>7</v>
      </c>
      <c r="N7" s="43" t="s">
        <v>338</v>
      </c>
    </row>
    <row r="8" spans="1:14" x14ac:dyDescent="0.25">
      <c r="A8" s="96">
        <f t="shared" ref="A8:A15" si="0">A7+1</f>
        <v>4</v>
      </c>
      <c r="B8" s="97" t="s">
        <v>539</v>
      </c>
      <c r="C8" s="98"/>
      <c r="D8" s="120" t="s">
        <v>429</v>
      </c>
      <c r="E8" s="121" t="s">
        <v>429</v>
      </c>
      <c r="F8" s="121" t="s">
        <v>429</v>
      </c>
      <c r="G8" s="121" t="s">
        <v>429</v>
      </c>
      <c r="H8" s="138" t="s">
        <v>542</v>
      </c>
      <c r="I8" s="81"/>
      <c r="J8" s="80" t="s">
        <v>184</v>
      </c>
      <c r="K8" s="99" t="s">
        <v>421</v>
      </c>
      <c r="L8" s="80" t="s">
        <v>6</v>
      </c>
      <c r="M8" s="80" t="s">
        <v>7</v>
      </c>
      <c r="N8" s="47" t="s">
        <v>354</v>
      </c>
    </row>
    <row r="9" spans="1:14" x14ac:dyDescent="0.25">
      <c r="A9" s="67">
        <f t="shared" si="0"/>
        <v>5</v>
      </c>
      <c r="B9" s="102"/>
      <c r="C9" s="68"/>
      <c r="D9" s="118" t="s">
        <v>429</v>
      </c>
      <c r="E9" s="119" t="s">
        <v>429</v>
      </c>
      <c r="F9" s="119" t="s">
        <v>429</v>
      </c>
      <c r="G9" s="119" t="s">
        <v>429</v>
      </c>
      <c r="H9" s="138" t="s">
        <v>542</v>
      </c>
      <c r="I9" s="1"/>
      <c r="J9" t="s">
        <v>449</v>
      </c>
      <c r="K9" s="27" t="s">
        <v>451</v>
      </c>
      <c r="L9" t="s">
        <v>6</v>
      </c>
      <c r="M9" t="s">
        <v>7</v>
      </c>
      <c r="N9" s="45" t="s">
        <v>453</v>
      </c>
    </row>
    <row r="10" spans="1:14" x14ac:dyDescent="0.25">
      <c r="A10" s="67">
        <f t="shared" si="0"/>
        <v>6</v>
      </c>
      <c r="B10" s="102"/>
      <c r="C10" s="68"/>
      <c r="D10" s="118" t="s">
        <v>429</v>
      </c>
      <c r="E10" s="119" t="s">
        <v>429</v>
      </c>
      <c r="F10" s="119" t="s">
        <v>429</v>
      </c>
      <c r="G10" s="119" t="s">
        <v>429</v>
      </c>
      <c r="H10" s="138" t="s">
        <v>542</v>
      </c>
      <c r="I10" s="1"/>
      <c r="J10" t="s">
        <v>450</v>
      </c>
      <c r="K10" t="s">
        <v>381</v>
      </c>
      <c r="L10" t="s">
        <v>6</v>
      </c>
      <c r="M10" t="s">
        <v>7</v>
      </c>
      <c r="N10" s="45" t="s">
        <v>457</v>
      </c>
    </row>
    <row r="11" spans="1:14" x14ac:dyDescent="0.25">
      <c r="A11" s="67">
        <f t="shared" si="0"/>
        <v>7</v>
      </c>
      <c r="B11" s="68" t="s">
        <v>539</v>
      </c>
      <c r="C11" s="92" t="s">
        <v>562</v>
      </c>
      <c r="D11" s="105" t="s">
        <v>486</v>
      </c>
      <c r="E11" s="106" t="s">
        <v>487</v>
      </c>
      <c r="F11" s="106" t="s">
        <v>488</v>
      </c>
      <c r="G11" t="s">
        <v>485</v>
      </c>
      <c r="H11" s="131" t="s">
        <v>538</v>
      </c>
      <c r="I11" s="1"/>
      <c r="J11" t="s">
        <v>9</v>
      </c>
      <c r="K11" t="s">
        <v>381</v>
      </c>
      <c r="L11" t="s">
        <v>6</v>
      </c>
      <c r="M11" t="s">
        <v>7</v>
      </c>
      <c r="N11" s="43" t="s">
        <v>314</v>
      </c>
    </row>
    <row r="12" spans="1:14" x14ac:dyDescent="0.25">
      <c r="A12" s="67">
        <f t="shared" si="0"/>
        <v>8</v>
      </c>
      <c r="C12" s="92" t="s">
        <v>562</v>
      </c>
      <c r="D12" s="105" t="s">
        <v>489</v>
      </c>
      <c r="E12" s="106" t="s">
        <v>487</v>
      </c>
      <c r="F12" s="106" t="s">
        <v>490</v>
      </c>
      <c r="G12" t="s">
        <v>491</v>
      </c>
      <c r="H12" s="131" t="s">
        <v>538</v>
      </c>
      <c r="I12" s="1"/>
      <c r="J12" t="s">
        <v>259</v>
      </c>
      <c r="K12" t="s">
        <v>381</v>
      </c>
      <c r="L12" t="s">
        <v>6</v>
      </c>
      <c r="M12" t="s">
        <v>7</v>
      </c>
      <c r="N12" s="43" t="s">
        <v>174</v>
      </c>
    </row>
    <row r="13" spans="1:14" x14ac:dyDescent="0.25">
      <c r="A13" s="67">
        <f t="shared" si="0"/>
        <v>9</v>
      </c>
      <c r="C13" s="92" t="s">
        <v>562</v>
      </c>
      <c r="D13" s="118" t="s">
        <v>429</v>
      </c>
      <c r="E13" s="119" t="s">
        <v>429</v>
      </c>
      <c r="F13" s="119" t="s">
        <v>429</v>
      </c>
      <c r="G13" s="119" t="s">
        <v>429</v>
      </c>
      <c r="H13" s="138" t="s">
        <v>542</v>
      </c>
      <c r="I13" s="1"/>
      <c r="J13" t="s">
        <v>10</v>
      </c>
      <c r="K13" t="s">
        <v>381</v>
      </c>
      <c r="L13" t="s">
        <v>6</v>
      </c>
      <c r="M13" t="s">
        <v>7</v>
      </c>
      <c r="N13" s="43" t="s">
        <v>11</v>
      </c>
    </row>
    <row r="14" spans="1:14" x14ac:dyDescent="0.25">
      <c r="A14" s="67">
        <f t="shared" si="0"/>
        <v>10</v>
      </c>
      <c r="B14" s="68" t="s">
        <v>539</v>
      </c>
      <c r="C14" s="92" t="s">
        <v>562</v>
      </c>
      <c r="D14" s="118" t="s">
        <v>429</v>
      </c>
      <c r="E14" s="119" t="s">
        <v>429</v>
      </c>
      <c r="F14" s="119" t="s">
        <v>429</v>
      </c>
      <c r="G14" s="119" t="s">
        <v>429</v>
      </c>
      <c r="H14" s="138" t="s">
        <v>542</v>
      </c>
      <c r="I14" s="1"/>
      <c r="J14" s="26" t="s">
        <v>514</v>
      </c>
      <c r="K14" t="s">
        <v>381</v>
      </c>
      <c r="L14" t="s">
        <v>6</v>
      </c>
      <c r="M14" s="26" t="s">
        <v>7</v>
      </c>
      <c r="N14" s="45" t="s">
        <v>384</v>
      </c>
    </row>
    <row r="15" spans="1:14" x14ac:dyDescent="0.25">
      <c r="A15" s="67">
        <f t="shared" si="0"/>
        <v>11</v>
      </c>
      <c r="B15" s="68" t="s">
        <v>539</v>
      </c>
      <c r="C15" s="68"/>
      <c r="D15" s="118" t="s">
        <v>429</v>
      </c>
      <c r="E15" s="119" t="s">
        <v>429</v>
      </c>
      <c r="F15" s="119" t="s">
        <v>429</v>
      </c>
      <c r="G15" s="119" t="s">
        <v>429</v>
      </c>
      <c r="H15" s="138" t="s">
        <v>542</v>
      </c>
      <c r="I15" s="1"/>
      <c r="J15" s="26" t="s">
        <v>188</v>
      </c>
      <c r="K15" t="s">
        <v>381</v>
      </c>
      <c r="L15" t="s">
        <v>6</v>
      </c>
      <c r="M15" s="26" t="s">
        <v>7</v>
      </c>
      <c r="N15" s="45" t="s">
        <v>385</v>
      </c>
    </row>
    <row r="16" spans="1:14" x14ac:dyDescent="0.25">
      <c r="A16" s="90"/>
      <c r="B16" s="35"/>
      <c r="C16" s="35"/>
      <c r="D16" s="8"/>
      <c r="E16" s="35"/>
      <c r="F16" s="35"/>
      <c r="G16" s="35"/>
      <c r="H16" s="132"/>
      <c r="I16" s="8" t="s">
        <v>471</v>
      </c>
      <c r="J16" s="35"/>
      <c r="K16" s="35"/>
      <c r="L16" s="35"/>
      <c r="M16" s="35"/>
      <c r="N16" s="42"/>
    </row>
    <row r="17" spans="1:14" x14ac:dyDescent="0.25">
      <c r="A17" s="72">
        <f>A15+1</f>
        <v>12</v>
      </c>
      <c r="B17" s="68" t="s">
        <v>539</v>
      </c>
      <c r="D17" s="118" t="s">
        <v>429</v>
      </c>
      <c r="E17" s="119" t="s">
        <v>429</v>
      </c>
      <c r="F17" s="119" t="s">
        <v>429</v>
      </c>
      <c r="G17" s="119" t="s">
        <v>429</v>
      </c>
      <c r="H17" s="138" t="s">
        <v>542</v>
      </c>
      <c r="I17" s="1"/>
      <c r="J17" s="26" t="s">
        <v>430</v>
      </c>
      <c r="K17" s="27" t="s">
        <v>443</v>
      </c>
      <c r="L17" t="s">
        <v>6</v>
      </c>
      <c r="M17" t="s">
        <v>7</v>
      </c>
      <c r="N17" s="45" t="s">
        <v>438</v>
      </c>
    </row>
    <row r="18" spans="1:14" x14ac:dyDescent="0.25">
      <c r="A18" s="108">
        <f>A17+1</f>
        <v>13</v>
      </c>
      <c r="B18" s="68" t="s">
        <v>539</v>
      </c>
      <c r="C18" s="92" t="s">
        <v>562</v>
      </c>
      <c r="D18" s="112" t="s">
        <v>515</v>
      </c>
      <c r="E18" s="113" t="s">
        <v>493</v>
      </c>
      <c r="F18" s="113" t="s">
        <v>488</v>
      </c>
      <c r="G18" s="26" t="s">
        <v>565</v>
      </c>
      <c r="H18" s="141" t="s">
        <v>538</v>
      </c>
      <c r="I18" s="142"/>
      <c r="J18" s="26" t="s">
        <v>190</v>
      </c>
      <c r="K18" s="15" t="s">
        <v>411</v>
      </c>
      <c r="L18" s="26" t="s">
        <v>544</v>
      </c>
      <c r="M18" s="26" t="s">
        <v>7</v>
      </c>
      <c r="N18" s="43" t="s">
        <v>594</v>
      </c>
    </row>
    <row r="19" spans="1:14" x14ac:dyDescent="0.25">
      <c r="A19" s="72">
        <f>A18+1</f>
        <v>14</v>
      </c>
      <c r="B19" s="68" t="s">
        <v>539</v>
      </c>
      <c r="C19" s="92"/>
      <c r="D19" s="105" t="s">
        <v>515</v>
      </c>
      <c r="E19" s="106" t="s">
        <v>493</v>
      </c>
      <c r="F19" s="113" t="s">
        <v>488</v>
      </c>
      <c r="G19" t="s">
        <v>516</v>
      </c>
      <c r="H19" s="131" t="s">
        <v>538</v>
      </c>
      <c r="I19" s="1"/>
      <c r="J19" t="s">
        <v>16</v>
      </c>
      <c r="K19" t="s">
        <v>381</v>
      </c>
      <c r="L19" t="s">
        <v>6</v>
      </c>
      <c r="M19" t="s">
        <v>7</v>
      </c>
      <c r="N19" s="43" t="s">
        <v>172</v>
      </c>
    </row>
    <row r="20" spans="1:14" x14ac:dyDescent="0.25">
      <c r="A20" s="72">
        <f>A19+1</f>
        <v>15</v>
      </c>
      <c r="B20" s="69"/>
      <c r="C20" s="92"/>
      <c r="D20" s="105" t="s">
        <v>515</v>
      </c>
      <c r="E20" s="106" t="s">
        <v>493</v>
      </c>
      <c r="F20" s="106" t="s">
        <v>488</v>
      </c>
      <c r="G20" t="s">
        <v>543</v>
      </c>
      <c r="H20" s="131" t="s">
        <v>538</v>
      </c>
      <c r="I20" s="1"/>
      <c r="J20" t="s">
        <v>17</v>
      </c>
      <c r="K20" t="s">
        <v>381</v>
      </c>
      <c r="L20" t="s">
        <v>6</v>
      </c>
      <c r="M20" t="s">
        <v>7</v>
      </c>
      <c r="N20" s="43" t="s">
        <v>288</v>
      </c>
    </row>
    <row r="21" spans="1:14" x14ac:dyDescent="0.25">
      <c r="A21" s="72">
        <f>A20+1</f>
        <v>16</v>
      </c>
      <c r="D21" s="105" t="s">
        <v>515</v>
      </c>
      <c r="E21" s="106" t="s">
        <v>487</v>
      </c>
      <c r="F21" s="106" t="s">
        <v>488</v>
      </c>
      <c r="G21" s="26" t="s">
        <v>564</v>
      </c>
      <c r="H21" s="131" t="s">
        <v>538</v>
      </c>
      <c r="I21" s="1"/>
      <c r="J21" t="s">
        <v>394</v>
      </c>
      <c r="K21" t="s">
        <v>381</v>
      </c>
      <c r="L21" t="s">
        <v>6</v>
      </c>
      <c r="M21" t="s">
        <v>7</v>
      </c>
      <c r="N21" s="43" t="s">
        <v>377</v>
      </c>
    </row>
    <row r="22" spans="1:14" ht="13.5" customHeight="1" x14ac:dyDescent="0.25">
      <c r="A22" s="72">
        <f>A21+1</f>
        <v>17</v>
      </c>
      <c r="D22" s="118" t="s">
        <v>429</v>
      </c>
      <c r="E22" s="119" t="s">
        <v>429</v>
      </c>
      <c r="F22" s="119" t="s">
        <v>429</v>
      </c>
      <c r="G22" s="119" t="s">
        <v>429</v>
      </c>
      <c r="H22" s="138" t="s">
        <v>542</v>
      </c>
      <c r="I22" s="1"/>
      <c r="J22" s="27" t="s">
        <v>340</v>
      </c>
      <c r="K22" s="27" t="s">
        <v>422</v>
      </c>
      <c r="L22" s="27" t="s">
        <v>6</v>
      </c>
      <c r="M22" s="27" t="s">
        <v>193</v>
      </c>
      <c r="N22" s="46" t="s">
        <v>337</v>
      </c>
    </row>
    <row r="23" spans="1:14" x14ac:dyDescent="0.25">
      <c r="A23" s="90"/>
      <c r="B23" s="35"/>
      <c r="C23" s="35"/>
      <c r="D23" s="8"/>
      <c r="E23" s="35"/>
      <c r="F23" s="35"/>
      <c r="G23" s="35"/>
      <c r="H23" s="132"/>
      <c r="I23" s="103" t="s">
        <v>481</v>
      </c>
      <c r="J23" s="35"/>
      <c r="K23" s="35"/>
      <c r="L23" s="35"/>
      <c r="M23" s="35"/>
      <c r="N23" s="42"/>
    </row>
    <row r="24" spans="1:14" x14ac:dyDescent="0.25">
      <c r="A24" s="72">
        <f>A22+1</f>
        <v>18</v>
      </c>
      <c r="B24" s="68" t="s">
        <v>539</v>
      </c>
      <c r="C24" s="68"/>
      <c r="D24" s="118" t="s">
        <v>429</v>
      </c>
      <c r="E24" s="119" t="s">
        <v>429</v>
      </c>
      <c r="F24" s="119" t="s">
        <v>429</v>
      </c>
      <c r="G24" s="119" t="s">
        <v>429</v>
      </c>
      <c r="H24" s="138" t="s">
        <v>542</v>
      </c>
      <c r="I24" s="1"/>
      <c r="J24" s="26" t="s">
        <v>341</v>
      </c>
      <c r="K24" t="s">
        <v>381</v>
      </c>
      <c r="L24" t="s">
        <v>6</v>
      </c>
      <c r="M24" t="s">
        <v>7</v>
      </c>
      <c r="N24" s="45" t="s">
        <v>379</v>
      </c>
    </row>
    <row r="25" spans="1:14" x14ac:dyDescent="0.25">
      <c r="A25" s="72">
        <f>A24+1</f>
        <v>19</v>
      </c>
      <c r="B25" s="68" t="s">
        <v>539</v>
      </c>
      <c r="C25" s="92" t="s">
        <v>562</v>
      </c>
      <c r="D25" s="105" t="s">
        <v>489</v>
      </c>
      <c r="E25" s="106" t="s">
        <v>487</v>
      </c>
      <c r="F25" s="106" t="s">
        <v>490</v>
      </c>
      <c r="G25" s="26" t="s">
        <v>403</v>
      </c>
      <c r="H25" s="133" t="s">
        <v>540</v>
      </c>
      <c r="I25" s="1"/>
      <c r="J25" t="s">
        <v>404</v>
      </c>
      <c r="K25" t="s">
        <v>381</v>
      </c>
      <c r="L25" t="s">
        <v>6</v>
      </c>
      <c r="M25" t="s">
        <v>7</v>
      </c>
      <c r="N25" s="43" t="s">
        <v>380</v>
      </c>
    </row>
    <row r="26" spans="1:14" x14ac:dyDescent="0.25">
      <c r="A26" s="72">
        <f t="shared" ref="A26:A28" si="1">A25+1</f>
        <v>20</v>
      </c>
      <c r="C26" s="92" t="s">
        <v>562</v>
      </c>
      <c r="D26" s="105" t="s">
        <v>489</v>
      </c>
      <c r="E26" s="106" t="s">
        <v>487</v>
      </c>
      <c r="F26" s="106" t="s">
        <v>490</v>
      </c>
      <c r="G26" s="26" t="s">
        <v>546</v>
      </c>
      <c r="H26" s="131" t="s">
        <v>538</v>
      </c>
      <c r="I26" s="1"/>
      <c r="J26" t="s">
        <v>217</v>
      </c>
      <c r="K26" s="14" t="s">
        <v>411</v>
      </c>
      <c r="L26" t="s">
        <v>6</v>
      </c>
      <c r="M26" t="s">
        <v>7</v>
      </c>
      <c r="N26" s="43" t="s">
        <v>288</v>
      </c>
    </row>
    <row r="27" spans="1:14" x14ac:dyDescent="0.25">
      <c r="A27" s="72">
        <f t="shared" si="1"/>
        <v>21</v>
      </c>
      <c r="C27" s="92" t="s">
        <v>562</v>
      </c>
      <c r="D27" s="105" t="s">
        <v>515</v>
      </c>
      <c r="E27" s="106" t="s">
        <v>493</v>
      </c>
      <c r="F27" s="106" t="s">
        <v>488</v>
      </c>
      <c r="G27" t="s">
        <v>460</v>
      </c>
      <c r="H27" s="131" t="s">
        <v>538</v>
      </c>
      <c r="I27" s="1"/>
      <c r="J27" t="s">
        <v>458</v>
      </c>
      <c r="K27" s="14" t="s">
        <v>411</v>
      </c>
      <c r="L27" t="s">
        <v>413</v>
      </c>
      <c r="M27" t="s">
        <v>7</v>
      </c>
      <c r="N27" s="45"/>
    </row>
    <row r="28" spans="1:14" x14ac:dyDescent="0.25">
      <c r="A28" s="72">
        <f t="shared" si="1"/>
        <v>22</v>
      </c>
      <c r="C28" s="92" t="s">
        <v>562</v>
      </c>
      <c r="D28" s="105" t="s">
        <v>515</v>
      </c>
      <c r="E28" s="106" t="s">
        <v>487</v>
      </c>
      <c r="F28" s="106" t="s">
        <v>488</v>
      </c>
      <c r="G28" t="s">
        <v>461</v>
      </c>
      <c r="H28" s="131" t="s">
        <v>538</v>
      </c>
      <c r="I28" s="1"/>
      <c r="J28" t="s">
        <v>459</v>
      </c>
      <c r="K28" s="14" t="s">
        <v>411</v>
      </c>
      <c r="L28" t="s">
        <v>462</v>
      </c>
      <c r="M28" t="s">
        <v>7</v>
      </c>
      <c r="N28" s="43" t="s">
        <v>593</v>
      </c>
    </row>
    <row r="29" spans="1:14" x14ac:dyDescent="0.25">
      <c r="A29" s="67">
        <f t="shared" ref="A29:A45" si="2">A28+1</f>
        <v>23</v>
      </c>
      <c r="D29" s="105" t="s">
        <v>486</v>
      </c>
      <c r="E29" s="117" t="s">
        <v>487</v>
      </c>
      <c r="F29" s="123" t="s">
        <v>488</v>
      </c>
      <c r="G29" t="s">
        <v>517</v>
      </c>
      <c r="H29" s="131" t="s">
        <v>538</v>
      </c>
      <c r="I29" s="1"/>
      <c r="J29" t="s">
        <v>29</v>
      </c>
      <c r="K29" t="s">
        <v>381</v>
      </c>
      <c r="L29" t="s">
        <v>348</v>
      </c>
      <c r="M29" t="s">
        <v>7</v>
      </c>
      <c r="N29" s="43" t="s">
        <v>592</v>
      </c>
    </row>
    <row r="30" spans="1:14" x14ac:dyDescent="0.25">
      <c r="A30" s="67">
        <f t="shared" si="2"/>
        <v>24</v>
      </c>
      <c r="D30" s="118" t="s">
        <v>429</v>
      </c>
      <c r="E30" s="119" t="s">
        <v>429</v>
      </c>
      <c r="F30" s="119" t="s">
        <v>429</v>
      </c>
      <c r="G30" s="119" t="s">
        <v>429</v>
      </c>
      <c r="H30" s="138" t="s">
        <v>542</v>
      </c>
      <c r="I30" s="59"/>
      <c r="J30" s="60" t="s">
        <v>316</v>
      </c>
      <c r="K30" s="60" t="s">
        <v>381</v>
      </c>
      <c r="L30" s="61" t="s">
        <v>6</v>
      </c>
      <c r="M30" s="61" t="s">
        <v>315</v>
      </c>
      <c r="N30" s="43" t="s">
        <v>175</v>
      </c>
    </row>
    <row r="31" spans="1:14" x14ac:dyDescent="0.25">
      <c r="A31" s="67">
        <f t="shared" si="2"/>
        <v>25</v>
      </c>
      <c r="D31" s="118" t="s">
        <v>429</v>
      </c>
      <c r="E31" s="119" t="s">
        <v>429</v>
      </c>
      <c r="F31" s="119" t="s">
        <v>429</v>
      </c>
      <c r="G31" s="119" t="s">
        <v>429</v>
      </c>
      <c r="H31" s="138" t="s">
        <v>542</v>
      </c>
      <c r="I31" s="59"/>
      <c r="J31" s="60" t="s">
        <v>317</v>
      </c>
      <c r="K31" s="60" t="s">
        <v>381</v>
      </c>
      <c r="L31" s="61" t="s">
        <v>318</v>
      </c>
      <c r="M31" s="61" t="s">
        <v>315</v>
      </c>
      <c r="N31" s="43"/>
    </row>
    <row r="32" spans="1:14" x14ac:dyDescent="0.25">
      <c r="A32" s="67">
        <f t="shared" si="2"/>
        <v>26</v>
      </c>
      <c r="D32" s="118" t="s">
        <v>429</v>
      </c>
      <c r="E32" s="119" t="s">
        <v>429</v>
      </c>
      <c r="F32" s="119" t="s">
        <v>429</v>
      </c>
      <c r="G32" s="119" t="s">
        <v>429</v>
      </c>
      <c r="H32" s="138" t="s">
        <v>542</v>
      </c>
      <c r="I32" s="59"/>
      <c r="J32" s="60" t="s">
        <v>319</v>
      </c>
      <c r="K32" s="60" t="s">
        <v>381</v>
      </c>
      <c r="L32" s="61" t="s">
        <v>321</v>
      </c>
      <c r="M32" s="61" t="s">
        <v>315</v>
      </c>
      <c r="N32" s="43"/>
    </row>
    <row r="33" spans="1:14" x14ac:dyDescent="0.25">
      <c r="A33" s="67">
        <f t="shared" si="2"/>
        <v>27</v>
      </c>
      <c r="D33" s="118" t="s">
        <v>429</v>
      </c>
      <c r="E33" s="119" t="s">
        <v>429</v>
      </c>
      <c r="F33" s="119" t="s">
        <v>429</v>
      </c>
      <c r="G33" s="119" t="s">
        <v>429</v>
      </c>
      <c r="H33" s="138" t="s">
        <v>542</v>
      </c>
      <c r="I33" s="59"/>
      <c r="J33" s="60" t="s">
        <v>320</v>
      </c>
      <c r="K33" s="60" t="s">
        <v>381</v>
      </c>
      <c r="L33" s="61" t="s">
        <v>321</v>
      </c>
      <c r="M33" s="61" t="s">
        <v>315</v>
      </c>
      <c r="N33" s="43"/>
    </row>
    <row r="34" spans="1:14" x14ac:dyDescent="0.25">
      <c r="A34" s="67">
        <f t="shared" si="2"/>
        <v>28</v>
      </c>
      <c r="C34" s="92" t="s">
        <v>562</v>
      </c>
      <c r="D34" s="118" t="s">
        <v>429</v>
      </c>
      <c r="E34" s="119" t="s">
        <v>429</v>
      </c>
      <c r="F34" s="119" t="s">
        <v>429</v>
      </c>
      <c r="G34" s="119" t="s">
        <v>429</v>
      </c>
      <c r="H34" s="138" t="s">
        <v>542</v>
      </c>
      <c r="I34" s="59"/>
      <c r="J34" s="60" t="s">
        <v>323</v>
      </c>
      <c r="K34" s="60" t="s">
        <v>381</v>
      </c>
      <c r="L34" s="61" t="s">
        <v>322</v>
      </c>
      <c r="M34" s="61" t="s">
        <v>315</v>
      </c>
      <c r="N34" s="43"/>
    </row>
    <row r="35" spans="1:14" x14ac:dyDescent="0.25">
      <c r="A35" s="67">
        <f t="shared" si="2"/>
        <v>29</v>
      </c>
      <c r="C35" s="92" t="s">
        <v>562</v>
      </c>
      <c r="D35" s="118" t="s">
        <v>429</v>
      </c>
      <c r="E35" s="119" t="s">
        <v>429</v>
      </c>
      <c r="F35" s="119" t="s">
        <v>429</v>
      </c>
      <c r="G35" s="119" t="s">
        <v>429</v>
      </c>
      <c r="H35" s="138" t="s">
        <v>542</v>
      </c>
      <c r="I35" s="59"/>
      <c r="J35" s="60" t="s">
        <v>324</v>
      </c>
      <c r="K35" s="60" t="s">
        <v>381</v>
      </c>
      <c r="L35" s="61" t="s">
        <v>328</v>
      </c>
      <c r="M35" s="61" t="s">
        <v>315</v>
      </c>
      <c r="N35" s="43"/>
    </row>
    <row r="36" spans="1:14" x14ac:dyDescent="0.25">
      <c r="A36" s="67">
        <f t="shared" si="2"/>
        <v>30</v>
      </c>
      <c r="D36" s="118" t="s">
        <v>429</v>
      </c>
      <c r="E36" s="119" t="s">
        <v>429</v>
      </c>
      <c r="F36" s="119" t="s">
        <v>429</v>
      </c>
      <c r="G36" s="119" t="s">
        <v>429</v>
      </c>
      <c r="H36" s="138" t="s">
        <v>542</v>
      </c>
      <c r="I36" s="59"/>
      <c r="J36" s="60" t="s">
        <v>335</v>
      </c>
      <c r="K36" s="60" t="s">
        <v>381</v>
      </c>
      <c r="L36" s="61" t="s">
        <v>336</v>
      </c>
      <c r="M36" s="61" t="s">
        <v>315</v>
      </c>
      <c r="N36" s="43"/>
    </row>
    <row r="37" spans="1:14" x14ac:dyDescent="0.25">
      <c r="A37" s="67">
        <f t="shared" si="2"/>
        <v>31</v>
      </c>
      <c r="D37" s="118" t="s">
        <v>429</v>
      </c>
      <c r="E37" s="119" t="s">
        <v>429</v>
      </c>
      <c r="F37" s="119" t="s">
        <v>429</v>
      </c>
      <c r="G37" s="119" t="s">
        <v>429</v>
      </c>
      <c r="H37" s="138" t="s">
        <v>542</v>
      </c>
      <c r="I37" s="59"/>
      <c r="J37" s="60" t="s">
        <v>326</v>
      </c>
      <c r="K37" s="60" t="s">
        <v>381</v>
      </c>
      <c r="L37" s="61" t="s">
        <v>322</v>
      </c>
      <c r="M37" s="61" t="s">
        <v>315</v>
      </c>
      <c r="N37" s="43"/>
    </row>
    <row r="38" spans="1:14" x14ac:dyDescent="0.25">
      <c r="A38" s="67">
        <f t="shared" si="2"/>
        <v>32</v>
      </c>
      <c r="D38" s="118" t="s">
        <v>429</v>
      </c>
      <c r="E38" s="119" t="s">
        <v>429</v>
      </c>
      <c r="F38" s="119" t="s">
        <v>429</v>
      </c>
      <c r="G38" s="119" t="s">
        <v>429</v>
      </c>
      <c r="H38" s="138" t="s">
        <v>542</v>
      </c>
      <c r="I38" s="59"/>
      <c r="J38" s="60" t="s">
        <v>325</v>
      </c>
      <c r="K38" s="60" t="s">
        <v>381</v>
      </c>
      <c r="L38" s="61" t="s">
        <v>328</v>
      </c>
      <c r="M38" s="61" t="s">
        <v>315</v>
      </c>
      <c r="N38" s="43"/>
    </row>
    <row r="39" spans="1:14" x14ac:dyDescent="0.25">
      <c r="A39" s="67">
        <f t="shared" si="2"/>
        <v>33</v>
      </c>
      <c r="D39" s="118" t="s">
        <v>429</v>
      </c>
      <c r="E39" s="119" t="s">
        <v>429</v>
      </c>
      <c r="F39" s="119" t="s">
        <v>429</v>
      </c>
      <c r="G39" s="119" t="s">
        <v>429</v>
      </c>
      <c r="H39" s="138" t="s">
        <v>542</v>
      </c>
      <c r="I39" s="59"/>
      <c r="J39" s="60" t="s">
        <v>335</v>
      </c>
      <c r="K39" s="60" t="s">
        <v>381</v>
      </c>
      <c r="L39" s="61" t="s">
        <v>336</v>
      </c>
      <c r="M39" s="61" t="s">
        <v>315</v>
      </c>
      <c r="N39" s="43"/>
    </row>
    <row r="40" spans="1:14" x14ac:dyDescent="0.25">
      <c r="A40" s="67">
        <f t="shared" si="2"/>
        <v>34</v>
      </c>
      <c r="D40" s="118" t="s">
        <v>429</v>
      </c>
      <c r="E40" s="119" t="s">
        <v>429</v>
      </c>
      <c r="F40" s="119" t="s">
        <v>429</v>
      </c>
      <c r="G40" s="119" t="s">
        <v>429</v>
      </c>
      <c r="H40" s="138" t="s">
        <v>542</v>
      </c>
      <c r="I40" s="59"/>
      <c r="J40" s="60" t="s">
        <v>327</v>
      </c>
      <c r="K40" s="60" t="s">
        <v>381</v>
      </c>
      <c r="L40" s="61" t="s">
        <v>329</v>
      </c>
      <c r="M40" s="61" t="s">
        <v>315</v>
      </c>
      <c r="N40" s="43"/>
    </row>
    <row r="41" spans="1:14" x14ac:dyDescent="0.25">
      <c r="A41" s="67">
        <f t="shared" si="2"/>
        <v>35</v>
      </c>
      <c r="D41" s="118" t="s">
        <v>429</v>
      </c>
      <c r="E41" s="119" t="s">
        <v>429</v>
      </c>
      <c r="F41" s="119" t="s">
        <v>429</v>
      </c>
      <c r="G41" s="119" t="s">
        <v>429</v>
      </c>
      <c r="H41" s="138" t="s">
        <v>542</v>
      </c>
      <c r="I41" s="59"/>
      <c r="J41" s="60" t="s">
        <v>330</v>
      </c>
      <c r="K41" s="60" t="s">
        <v>381</v>
      </c>
      <c r="L41" s="61" t="s">
        <v>329</v>
      </c>
      <c r="M41" s="61" t="s">
        <v>315</v>
      </c>
      <c r="N41" s="43"/>
    </row>
    <row r="42" spans="1:14" x14ac:dyDescent="0.25">
      <c r="A42" s="67">
        <f t="shared" si="2"/>
        <v>36</v>
      </c>
      <c r="C42" s="68"/>
      <c r="D42" s="118" t="s">
        <v>429</v>
      </c>
      <c r="E42" s="119" t="s">
        <v>429</v>
      </c>
      <c r="F42" s="119" t="s">
        <v>429</v>
      </c>
      <c r="G42" s="119" t="s">
        <v>429</v>
      </c>
      <c r="H42" s="138" t="s">
        <v>542</v>
      </c>
      <c r="I42" s="59"/>
      <c r="J42" s="60" t="s">
        <v>331</v>
      </c>
      <c r="K42" s="60" t="s">
        <v>381</v>
      </c>
      <c r="L42" s="61"/>
      <c r="M42" s="61" t="s">
        <v>315</v>
      </c>
      <c r="N42" s="43"/>
    </row>
    <row r="43" spans="1:14" x14ac:dyDescent="0.25">
      <c r="A43" s="67">
        <f t="shared" si="2"/>
        <v>37</v>
      </c>
      <c r="C43" s="69"/>
      <c r="D43" s="118" t="s">
        <v>429</v>
      </c>
      <c r="E43" s="119" t="s">
        <v>429</v>
      </c>
      <c r="F43" s="119" t="s">
        <v>429</v>
      </c>
      <c r="G43" s="119" t="s">
        <v>429</v>
      </c>
      <c r="H43" s="138" t="s">
        <v>542</v>
      </c>
      <c r="I43" s="59"/>
      <c r="J43" s="60" t="s">
        <v>333</v>
      </c>
      <c r="K43" s="60" t="s">
        <v>381</v>
      </c>
      <c r="L43" s="61"/>
      <c r="M43" s="61" t="s">
        <v>315</v>
      </c>
      <c r="N43" s="43"/>
    </row>
    <row r="44" spans="1:14" x14ac:dyDescent="0.25">
      <c r="A44" s="67">
        <f t="shared" si="2"/>
        <v>38</v>
      </c>
      <c r="C44" s="69"/>
      <c r="D44" s="118" t="s">
        <v>429</v>
      </c>
      <c r="E44" s="119" t="s">
        <v>429</v>
      </c>
      <c r="F44" s="119" t="s">
        <v>429</v>
      </c>
      <c r="G44" s="119" t="s">
        <v>429</v>
      </c>
      <c r="H44" s="138" t="s">
        <v>542</v>
      </c>
      <c r="I44" s="59"/>
      <c r="J44" s="60" t="s">
        <v>334</v>
      </c>
      <c r="K44" s="60" t="s">
        <v>381</v>
      </c>
      <c r="L44" s="61" t="s">
        <v>332</v>
      </c>
      <c r="M44" s="61" t="s">
        <v>315</v>
      </c>
      <c r="N44" s="43"/>
    </row>
    <row r="45" spans="1:14" x14ac:dyDescent="0.25">
      <c r="A45" s="67">
        <f t="shared" si="2"/>
        <v>39</v>
      </c>
      <c r="D45" s="118" t="s">
        <v>429</v>
      </c>
      <c r="E45" s="119" t="s">
        <v>429</v>
      </c>
      <c r="F45" s="119" t="s">
        <v>429</v>
      </c>
      <c r="G45" s="119" t="s">
        <v>429</v>
      </c>
      <c r="H45" s="138" t="s">
        <v>542</v>
      </c>
      <c r="I45" s="59"/>
      <c r="J45" s="60" t="s">
        <v>307</v>
      </c>
      <c r="K45" s="60" t="s">
        <v>381</v>
      </c>
      <c r="L45" s="61" t="s">
        <v>6</v>
      </c>
      <c r="M45" s="61" t="s">
        <v>217</v>
      </c>
      <c r="N45" s="43" t="s">
        <v>173</v>
      </c>
    </row>
    <row r="46" spans="1:14" x14ac:dyDescent="0.25">
      <c r="A46" s="93"/>
      <c r="B46" s="35"/>
      <c r="C46" s="35"/>
      <c r="D46" s="8"/>
      <c r="E46" s="35"/>
      <c r="F46" s="35"/>
      <c r="G46" s="35"/>
      <c r="H46" s="132"/>
      <c r="I46" s="8" t="s">
        <v>472</v>
      </c>
      <c r="J46" s="35"/>
      <c r="K46" s="35"/>
      <c r="L46" s="35"/>
      <c r="M46" s="35"/>
      <c r="N46" s="42"/>
    </row>
    <row r="47" spans="1:14" x14ac:dyDescent="0.25">
      <c r="A47" s="67">
        <f>A45+1</f>
        <v>40</v>
      </c>
      <c r="D47" s="139" t="s">
        <v>515</v>
      </c>
      <c r="E47" s="113" t="s">
        <v>487</v>
      </c>
      <c r="F47" s="113" t="s">
        <v>488</v>
      </c>
      <c r="G47" s="26" t="s">
        <v>578</v>
      </c>
      <c r="H47" s="133" t="s">
        <v>540</v>
      </c>
      <c r="I47" s="1"/>
      <c r="J47" s="15" t="s">
        <v>577</v>
      </c>
      <c r="K47" s="14" t="s">
        <v>382</v>
      </c>
      <c r="L47" t="s">
        <v>6</v>
      </c>
      <c r="M47" t="s">
        <v>7</v>
      </c>
      <c r="N47" s="43"/>
    </row>
    <row r="48" spans="1:14" x14ac:dyDescent="0.25">
      <c r="A48" s="67">
        <f>A47+1</f>
        <v>41</v>
      </c>
      <c r="B48" s="68" t="s">
        <v>539</v>
      </c>
      <c r="D48" s="118" t="s">
        <v>429</v>
      </c>
      <c r="E48" s="119" t="s">
        <v>429</v>
      </c>
      <c r="F48" s="119" t="s">
        <v>429</v>
      </c>
      <c r="G48" s="119" t="s">
        <v>429</v>
      </c>
      <c r="H48" s="138" t="s">
        <v>542</v>
      </c>
      <c r="I48" s="1"/>
      <c r="J48" s="14" t="s">
        <v>81</v>
      </c>
      <c r="K48" t="s">
        <v>381</v>
      </c>
      <c r="L48" t="s">
        <v>6</v>
      </c>
      <c r="M48" t="s">
        <v>7</v>
      </c>
      <c r="N48" s="43" t="s">
        <v>134</v>
      </c>
    </row>
    <row r="49" spans="1:14" x14ac:dyDescent="0.25">
      <c r="A49" s="67">
        <f t="shared" ref="A49:A54" si="3">A48+1</f>
        <v>42</v>
      </c>
      <c r="B49" s="68" t="s">
        <v>539</v>
      </c>
      <c r="D49" s="118" t="s">
        <v>429</v>
      </c>
      <c r="E49" s="119" t="s">
        <v>429</v>
      </c>
      <c r="F49" s="119" t="s">
        <v>429</v>
      </c>
      <c r="G49" s="119" t="s">
        <v>429</v>
      </c>
      <c r="H49" s="138" t="s">
        <v>542</v>
      </c>
      <c r="I49" s="1"/>
      <c r="J49" s="14" t="s">
        <v>536</v>
      </c>
      <c r="K49" t="s">
        <v>420</v>
      </c>
      <c r="L49" t="s">
        <v>6</v>
      </c>
      <c r="M49" t="s">
        <v>7</v>
      </c>
      <c r="N49" s="43" t="s">
        <v>169</v>
      </c>
    </row>
    <row r="50" spans="1:14" x14ac:dyDescent="0.25">
      <c r="A50" s="67">
        <f t="shared" si="3"/>
        <v>43</v>
      </c>
      <c r="B50" s="68" t="s">
        <v>539</v>
      </c>
      <c r="D50" s="118" t="s">
        <v>429</v>
      </c>
      <c r="E50" s="119" t="s">
        <v>429</v>
      </c>
      <c r="F50" s="119" t="s">
        <v>429</v>
      </c>
      <c r="G50" s="119" t="s">
        <v>429</v>
      </c>
      <c r="H50" s="138" t="s">
        <v>542</v>
      </c>
      <c r="I50" s="1"/>
      <c r="J50" s="14" t="s">
        <v>234</v>
      </c>
      <c r="K50" t="s">
        <v>381</v>
      </c>
      <c r="L50" t="s">
        <v>6</v>
      </c>
      <c r="M50" t="s">
        <v>7</v>
      </c>
      <c r="N50" s="43" t="s">
        <v>377</v>
      </c>
    </row>
    <row r="51" spans="1:14" x14ac:dyDescent="0.25">
      <c r="A51" s="67">
        <f t="shared" si="3"/>
        <v>44</v>
      </c>
      <c r="D51" s="118" t="s">
        <v>429</v>
      </c>
      <c r="E51" s="119" t="s">
        <v>429</v>
      </c>
      <c r="F51" s="119" t="s">
        <v>429</v>
      </c>
      <c r="G51" s="119" t="s">
        <v>429</v>
      </c>
      <c r="H51" s="138" t="s">
        <v>542</v>
      </c>
      <c r="I51" s="1"/>
      <c r="J51" s="15" t="s">
        <v>233</v>
      </c>
      <c r="K51" t="s">
        <v>381</v>
      </c>
      <c r="L51" t="s">
        <v>6</v>
      </c>
      <c r="M51" t="s">
        <v>7</v>
      </c>
      <c r="N51" s="43"/>
    </row>
    <row r="52" spans="1:14" x14ac:dyDescent="0.25">
      <c r="A52" s="67">
        <f t="shared" si="3"/>
        <v>45</v>
      </c>
      <c r="D52" s="139" t="s">
        <v>515</v>
      </c>
      <c r="E52" s="113" t="s">
        <v>487</v>
      </c>
      <c r="F52" s="113" t="s">
        <v>488</v>
      </c>
      <c r="G52" s="26" t="s">
        <v>535</v>
      </c>
      <c r="H52" s="133" t="s">
        <v>540</v>
      </c>
      <c r="I52" s="1"/>
      <c r="J52" s="15" t="s">
        <v>285</v>
      </c>
      <c r="K52" t="s">
        <v>420</v>
      </c>
      <c r="L52" t="s">
        <v>6</v>
      </c>
      <c r="M52" t="s">
        <v>7</v>
      </c>
      <c r="N52" s="43" t="s">
        <v>169</v>
      </c>
    </row>
    <row r="53" spans="1:14" x14ac:dyDescent="0.25">
      <c r="A53" s="67">
        <f t="shared" si="3"/>
        <v>46</v>
      </c>
      <c r="D53" s="118" t="s">
        <v>429</v>
      </c>
      <c r="E53" s="119" t="s">
        <v>429</v>
      </c>
      <c r="F53" s="119" t="s">
        <v>429</v>
      </c>
      <c r="G53" s="119" t="s">
        <v>429</v>
      </c>
      <c r="H53" s="138" t="s">
        <v>542</v>
      </c>
      <c r="I53" s="1"/>
      <c r="J53" s="14" t="s">
        <v>84</v>
      </c>
      <c r="K53" t="s">
        <v>420</v>
      </c>
      <c r="L53" t="s">
        <v>6</v>
      </c>
      <c r="M53" t="s">
        <v>7</v>
      </c>
      <c r="N53" s="43" t="s">
        <v>169</v>
      </c>
    </row>
    <row r="54" spans="1:14" x14ac:dyDescent="0.25">
      <c r="A54" s="67">
        <f t="shared" si="3"/>
        <v>47</v>
      </c>
      <c r="D54" s="118" t="s">
        <v>429</v>
      </c>
      <c r="E54" s="119" t="s">
        <v>429</v>
      </c>
      <c r="F54" s="119" t="s">
        <v>429</v>
      </c>
      <c r="G54" s="119" t="s">
        <v>429</v>
      </c>
      <c r="H54" s="138" t="s">
        <v>542</v>
      </c>
      <c r="I54" s="1"/>
      <c r="J54" s="14" t="s">
        <v>378</v>
      </c>
      <c r="K54" t="s">
        <v>381</v>
      </c>
      <c r="L54" t="s">
        <v>6</v>
      </c>
      <c r="M54" t="s">
        <v>7</v>
      </c>
      <c r="N54" s="43" t="s">
        <v>377</v>
      </c>
    </row>
    <row r="55" spans="1:14" x14ac:dyDescent="0.25">
      <c r="A55" s="93"/>
      <c r="B55" s="35"/>
      <c r="C55" s="35"/>
      <c r="D55" s="8"/>
      <c r="E55" s="35"/>
      <c r="F55" s="35"/>
      <c r="G55" s="35"/>
      <c r="H55" s="132"/>
      <c r="I55" s="8" t="s">
        <v>473</v>
      </c>
      <c r="J55" s="35"/>
      <c r="K55" s="35"/>
      <c r="L55" s="35"/>
      <c r="M55" s="35"/>
      <c r="N55" s="42"/>
    </row>
    <row r="56" spans="1:14" x14ac:dyDescent="0.25">
      <c r="A56" s="67">
        <f>A54+1</f>
        <v>48</v>
      </c>
      <c r="D56" s="105" t="s">
        <v>489</v>
      </c>
      <c r="E56" s="106" t="s">
        <v>495</v>
      </c>
      <c r="F56" s="106" t="s">
        <v>490</v>
      </c>
      <c r="G56" s="144" t="s">
        <v>545</v>
      </c>
      <c r="H56" s="133" t="s">
        <v>540</v>
      </c>
      <c r="I56" s="1"/>
      <c r="J56" s="15" t="s">
        <v>463</v>
      </c>
      <c r="K56" t="s">
        <v>420</v>
      </c>
      <c r="L56" t="s">
        <v>6</v>
      </c>
      <c r="M56" t="s">
        <v>7</v>
      </c>
      <c r="N56" s="43"/>
    </row>
    <row r="57" spans="1:14" x14ac:dyDescent="0.25">
      <c r="A57" s="67">
        <f>A56+1</f>
        <v>49</v>
      </c>
      <c r="D57" s="118" t="s">
        <v>429</v>
      </c>
      <c r="E57" s="119" t="s">
        <v>429</v>
      </c>
      <c r="F57" s="119" t="s">
        <v>429</v>
      </c>
      <c r="G57" s="119" t="s">
        <v>429</v>
      </c>
      <c r="H57" s="138" t="s">
        <v>542</v>
      </c>
      <c r="I57" s="1"/>
      <c r="J57" s="15" t="s">
        <v>464</v>
      </c>
      <c r="K57" t="s">
        <v>420</v>
      </c>
      <c r="L57" t="s">
        <v>6</v>
      </c>
      <c r="M57" t="s">
        <v>7</v>
      </c>
      <c r="N57" s="43" t="s">
        <v>169</v>
      </c>
    </row>
    <row r="58" spans="1:14" x14ac:dyDescent="0.25">
      <c r="A58" s="67">
        <f t="shared" ref="A58:A64" si="4">A57+1</f>
        <v>50</v>
      </c>
      <c r="D58" s="111" t="s">
        <v>510</v>
      </c>
      <c r="E58" s="106" t="s">
        <v>495</v>
      </c>
      <c r="F58" s="117" t="str">
        <f t="shared" ref="F58" si="5">_xlfn.LET(
_xlpm.A,6-VALUE(RIGHT(TRIM(CLEAN(D58)),1)),
_xlpm.E,6-VALUE(RIGHT(TRIM(CLEAN(E58)),1)),
IF(AND(_xlpm.A&gt;=4,_xlpm.E&gt;=4),"S1",
IF(OR(AND(_xlpm.A=3,_xlpm.E&gt;=3),AND(_xlpm.A&gt;=4,_xlpm.E=3)),"S2",
IF(AND(_xlpm.A=2,_xlpm.E&gt;=3),"S3",
"S4"))))</f>
        <v>S2</v>
      </c>
      <c r="G58" s="26" t="s">
        <v>574</v>
      </c>
      <c r="H58" s="133" t="s">
        <v>540</v>
      </c>
      <c r="I58" s="1"/>
      <c r="J58" s="15" t="s">
        <v>573</v>
      </c>
      <c r="K58" t="s">
        <v>420</v>
      </c>
      <c r="L58" t="s">
        <v>6</v>
      </c>
      <c r="M58" t="s">
        <v>7</v>
      </c>
      <c r="N58" s="43"/>
    </row>
    <row r="59" spans="1:14" x14ac:dyDescent="0.25">
      <c r="A59" s="67">
        <f t="shared" si="4"/>
        <v>51</v>
      </c>
      <c r="D59" s="105" t="s">
        <v>486</v>
      </c>
      <c r="E59" s="117" t="s">
        <v>487</v>
      </c>
      <c r="F59" s="117" t="s">
        <v>488</v>
      </c>
      <c r="G59" s="140" t="s">
        <v>426</v>
      </c>
      <c r="H59" s="133" t="s">
        <v>540</v>
      </c>
      <c r="I59" s="1"/>
      <c r="J59" s="14" t="s">
        <v>466</v>
      </c>
      <c r="K59" t="s">
        <v>420</v>
      </c>
      <c r="L59" t="s">
        <v>6</v>
      </c>
      <c r="M59" t="s">
        <v>7</v>
      </c>
      <c r="N59" s="43"/>
    </row>
    <row r="60" spans="1:14" x14ac:dyDescent="0.25">
      <c r="A60" s="67">
        <f t="shared" si="4"/>
        <v>52</v>
      </c>
      <c r="D60" s="112" t="s">
        <v>489</v>
      </c>
      <c r="E60" s="113" t="s">
        <v>495</v>
      </c>
      <c r="F60" s="113" t="s">
        <v>490</v>
      </c>
      <c r="G60" s="26" t="s">
        <v>427</v>
      </c>
      <c r="H60" s="133" t="s">
        <v>540</v>
      </c>
      <c r="I60" s="1"/>
      <c r="J60" s="14" t="s">
        <v>391</v>
      </c>
      <c r="K60" t="s">
        <v>420</v>
      </c>
      <c r="L60" t="s">
        <v>6</v>
      </c>
      <c r="M60" t="s">
        <v>7</v>
      </c>
      <c r="N60" s="43"/>
    </row>
    <row r="61" spans="1:14" ht="15" customHeight="1" x14ac:dyDescent="0.25">
      <c r="A61" s="67">
        <f t="shared" si="4"/>
        <v>53</v>
      </c>
      <c r="D61" s="112" t="s">
        <v>489</v>
      </c>
      <c r="E61" s="113" t="s">
        <v>495</v>
      </c>
      <c r="F61" s="113" t="s">
        <v>490</v>
      </c>
      <c r="G61" s="26" t="s">
        <v>568</v>
      </c>
      <c r="H61" s="133" t="s">
        <v>540</v>
      </c>
      <c r="I61" s="1"/>
      <c r="J61" s="15" t="s">
        <v>566</v>
      </c>
      <c r="K61" t="s">
        <v>420</v>
      </c>
      <c r="L61" t="s">
        <v>6</v>
      </c>
      <c r="M61" t="s">
        <v>7</v>
      </c>
      <c r="N61" s="45"/>
    </row>
    <row r="62" spans="1:14" x14ac:dyDescent="0.25">
      <c r="A62" s="67">
        <f t="shared" si="4"/>
        <v>54</v>
      </c>
      <c r="D62" s="112" t="s">
        <v>489</v>
      </c>
      <c r="E62" s="113" t="s">
        <v>495</v>
      </c>
      <c r="F62" s="113" t="s">
        <v>490</v>
      </c>
      <c r="G62" t="s">
        <v>567</v>
      </c>
      <c r="H62" s="133" t="s">
        <v>540</v>
      </c>
      <c r="I62" s="1"/>
      <c r="J62" s="14" t="s">
        <v>467</v>
      </c>
      <c r="K62" t="s">
        <v>420</v>
      </c>
      <c r="L62" t="s">
        <v>6</v>
      </c>
      <c r="M62" t="s">
        <v>7</v>
      </c>
      <c r="N62" s="43"/>
    </row>
    <row r="63" spans="1:14" x14ac:dyDescent="0.25">
      <c r="A63" s="67">
        <f t="shared" si="4"/>
        <v>55</v>
      </c>
      <c r="D63" s="112" t="s">
        <v>489</v>
      </c>
      <c r="E63" s="113" t="s">
        <v>495</v>
      </c>
      <c r="F63" s="113" t="s">
        <v>490</v>
      </c>
      <c r="G63" t="s">
        <v>553</v>
      </c>
      <c r="H63" s="133" t="s">
        <v>540</v>
      </c>
      <c r="I63" s="1"/>
      <c r="J63" s="14" t="s">
        <v>468</v>
      </c>
      <c r="K63" t="s">
        <v>420</v>
      </c>
      <c r="L63" t="s">
        <v>6</v>
      </c>
      <c r="M63" t="s">
        <v>392</v>
      </c>
      <c r="N63" s="43"/>
    </row>
    <row r="64" spans="1:14" x14ac:dyDescent="0.25">
      <c r="A64" s="67">
        <f t="shared" si="4"/>
        <v>56</v>
      </c>
      <c r="C64" s="68"/>
      <c r="D64" s="105" t="s">
        <v>486</v>
      </c>
      <c r="E64" s="106" t="s">
        <v>487</v>
      </c>
      <c r="F64" s="106" t="s">
        <v>488</v>
      </c>
      <c r="G64" t="s">
        <v>400</v>
      </c>
      <c r="H64" s="131" t="s">
        <v>538</v>
      </c>
      <c r="I64" s="1"/>
      <c r="J64" s="15" t="s">
        <v>91</v>
      </c>
      <c r="K64" t="s">
        <v>381</v>
      </c>
      <c r="L64" t="s">
        <v>6</v>
      </c>
      <c r="M64" t="s">
        <v>7</v>
      </c>
      <c r="N64" s="43" t="s">
        <v>169</v>
      </c>
    </row>
    <row r="65" spans="1:14" x14ac:dyDescent="0.25">
      <c r="A65" s="93"/>
      <c r="B65" s="35"/>
      <c r="C65" s="35"/>
      <c r="D65" s="8"/>
      <c r="E65" s="35"/>
      <c r="F65" s="35"/>
      <c r="G65" s="35"/>
      <c r="H65" s="132"/>
      <c r="I65" s="8" t="s">
        <v>474</v>
      </c>
      <c r="J65" s="35"/>
      <c r="K65" s="35"/>
      <c r="L65" s="35"/>
      <c r="M65" s="35"/>
      <c r="N65" s="42"/>
    </row>
    <row r="66" spans="1:14" x14ac:dyDescent="0.25">
      <c r="A66" s="67">
        <f>A64+1</f>
        <v>57</v>
      </c>
      <c r="D66" s="112" t="s">
        <v>489</v>
      </c>
      <c r="E66" s="113" t="s">
        <v>495</v>
      </c>
      <c r="F66" s="113" t="s">
        <v>490</v>
      </c>
      <c r="G66" s="119" t="s">
        <v>583</v>
      </c>
      <c r="H66" s="133" t="s">
        <v>540</v>
      </c>
      <c r="I66" s="1"/>
      <c r="J66" s="14" t="s">
        <v>547</v>
      </c>
      <c r="K66" s="14" t="s">
        <v>550</v>
      </c>
      <c r="L66" t="s">
        <v>6</v>
      </c>
      <c r="M66" t="s">
        <v>7</v>
      </c>
      <c r="N66" s="43"/>
    </row>
    <row r="67" spans="1:14" x14ac:dyDescent="0.25">
      <c r="A67" s="67">
        <f>A66+1</f>
        <v>58</v>
      </c>
      <c r="D67" s="105" t="s">
        <v>489</v>
      </c>
      <c r="E67" s="106" t="s">
        <v>495</v>
      </c>
      <c r="F67" s="106" t="str">
        <f t="shared" ref="F67:F68" si="6">_xlfn.LET(
_xlpm.A,6-VALUE(RIGHT(TRIM(CLEAN(D67)),1)),
_xlpm.E,6-VALUE(RIGHT(TRIM(CLEAN(E67)),1)),
IF(AND(_xlpm.A&gt;=4,_xlpm.E&gt;=4),"S1",
IF(OR(AND(_xlpm.A=3,_xlpm.E&gt;=3),AND(_xlpm.A&gt;=4,_xlpm.E=3)),"S2",
IF(AND(_xlpm.A=2,_xlpm.E&gt;=3),"S3",
"S4"))))</f>
        <v>S3</v>
      </c>
      <c r="G67" s="144" t="s">
        <v>569</v>
      </c>
      <c r="H67" s="143" t="s">
        <v>540</v>
      </c>
      <c r="I67" s="1"/>
      <c r="J67" s="14" t="s">
        <v>548</v>
      </c>
      <c r="K67" s="14" t="s">
        <v>550</v>
      </c>
      <c r="L67" t="s">
        <v>6</v>
      </c>
      <c r="M67" t="s">
        <v>7</v>
      </c>
      <c r="N67" s="43"/>
    </row>
    <row r="68" spans="1:14" x14ac:dyDescent="0.25">
      <c r="A68" s="67">
        <f>A67+1</f>
        <v>59</v>
      </c>
      <c r="D68" s="105" t="s">
        <v>489</v>
      </c>
      <c r="E68" s="106" t="s">
        <v>495</v>
      </c>
      <c r="F68" s="113" t="str">
        <f t="shared" si="6"/>
        <v>S3</v>
      </c>
      <c r="G68" t="s">
        <v>553</v>
      </c>
      <c r="H68" s="133" t="s">
        <v>540</v>
      </c>
      <c r="I68" s="1"/>
      <c r="J68" s="14" t="s">
        <v>549</v>
      </c>
      <c r="K68" s="14" t="s">
        <v>550</v>
      </c>
      <c r="L68" t="s">
        <v>6</v>
      </c>
      <c r="M68" t="s">
        <v>7</v>
      </c>
      <c r="N68" s="43"/>
    </row>
    <row r="69" spans="1:14" x14ac:dyDescent="0.25">
      <c r="A69" s="93"/>
      <c r="B69" s="35"/>
      <c r="C69" s="35"/>
      <c r="D69" s="8"/>
      <c r="E69" s="35"/>
      <c r="F69" s="35"/>
      <c r="G69" s="35"/>
      <c r="H69" s="132"/>
      <c r="I69" s="91" t="s">
        <v>480</v>
      </c>
      <c r="J69" s="35"/>
      <c r="K69" s="35"/>
      <c r="L69" s="35"/>
      <c r="M69" s="35"/>
      <c r="N69" s="42"/>
    </row>
    <row r="70" spans="1:14" x14ac:dyDescent="0.25">
      <c r="A70" s="72">
        <f>A68+1</f>
        <v>60</v>
      </c>
      <c r="B70" s="68" t="s">
        <v>539</v>
      </c>
      <c r="C70" s="68"/>
      <c r="D70" s="105" t="s">
        <v>489</v>
      </c>
      <c r="E70" s="106" t="s">
        <v>487</v>
      </c>
      <c r="F70" s="106" t="s">
        <v>490</v>
      </c>
      <c r="G70" t="s">
        <v>533</v>
      </c>
      <c r="H70" s="133" t="s">
        <v>540</v>
      </c>
      <c r="I70" s="1"/>
      <c r="J70" s="14" t="s">
        <v>469</v>
      </c>
      <c r="K70" t="s">
        <v>420</v>
      </c>
      <c r="L70" t="s">
        <v>6</v>
      </c>
      <c r="M70" t="s">
        <v>7</v>
      </c>
      <c r="N70" s="43" t="s">
        <v>346</v>
      </c>
    </row>
    <row r="71" spans="1:14" x14ac:dyDescent="0.25">
      <c r="A71" s="72">
        <f>A70+1</f>
        <v>61</v>
      </c>
      <c r="B71" s="68" t="s">
        <v>539</v>
      </c>
      <c r="C71" s="69"/>
      <c r="D71" s="111" t="s">
        <v>486</v>
      </c>
      <c r="E71" s="106" t="s">
        <v>493</v>
      </c>
      <c r="F71" s="106" t="s">
        <v>488</v>
      </c>
      <c r="G71" t="s">
        <v>492</v>
      </c>
      <c r="H71" s="131" t="s">
        <v>538</v>
      </c>
      <c r="I71" s="1"/>
      <c r="J71" s="14" t="s">
        <v>345</v>
      </c>
      <c r="K71" t="s">
        <v>381</v>
      </c>
      <c r="L71" t="s">
        <v>6</v>
      </c>
      <c r="M71" t="s">
        <v>7</v>
      </c>
      <c r="N71" s="43" t="s">
        <v>364</v>
      </c>
    </row>
    <row r="72" spans="1:14" x14ac:dyDescent="0.25">
      <c r="A72" s="72">
        <f>A71+1</f>
        <v>62</v>
      </c>
      <c r="D72" s="118" t="s">
        <v>429</v>
      </c>
      <c r="E72" s="119" t="s">
        <v>429</v>
      </c>
      <c r="F72" s="119" t="s">
        <v>429</v>
      </c>
      <c r="G72" s="119" t="s">
        <v>429</v>
      </c>
      <c r="H72" s="138" t="s">
        <v>542</v>
      </c>
      <c r="I72" s="1"/>
      <c r="J72" s="14" t="s">
        <v>408</v>
      </c>
      <c r="K72" s="14" t="s">
        <v>411</v>
      </c>
      <c r="L72" t="s">
        <v>6</v>
      </c>
      <c r="M72" t="s">
        <v>7</v>
      </c>
      <c r="N72" s="43"/>
    </row>
    <row r="73" spans="1:14" x14ac:dyDescent="0.25">
      <c r="A73" s="93"/>
      <c r="B73" s="35"/>
      <c r="C73" s="35"/>
      <c r="D73" s="8"/>
      <c r="E73" s="35"/>
      <c r="F73" s="35"/>
      <c r="G73" s="35"/>
      <c r="H73" s="132"/>
      <c r="I73" s="91" t="s">
        <v>479</v>
      </c>
      <c r="J73" s="35"/>
      <c r="K73" s="35"/>
      <c r="L73" s="35"/>
      <c r="M73" s="35"/>
      <c r="N73" s="21"/>
    </row>
    <row r="74" spans="1:14" x14ac:dyDescent="0.25">
      <c r="A74" s="67">
        <f>A72+1</f>
        <v>63</v>
      </c>
      <c r="B74" s="26"/>
      <c r="D74" s="118" t="s">
        <v>429</v>
      </c>
      <c r="E74" s="119" t="s">
        <v>429</v>
      </c>
      <c r="F74" s="119" t="s">
        <v>429</v>
      </c>
      <c r="G74" s="119" t="s">
        <v>429</v>
      </c>
      <c r="H74" s="138" t="s">
        <v>542</v>
      </c>
      <c r="I74" s="1"/>
      <c r="J74" s="15" t="s">
        <v>521</v>
      </c>
      <c r="K74" s="14" t="s">
        <v>411</v>
      </c>
      <c r="L74" t="s">
        <v>6</v>
      </c>
      <c r="M74" t="s">
        <v>7</v>
      </c>
      <c r="N74" s="22" t="s">
        <v>441</v>
      </c>
    </row>
    <row r="75" spans="1:14" x14ac:dyDescent="0.25">
      <c r="A75" s="67">
        <f>A74+1</f>
        <v>64</v>
      </c>
      <c r="B75" s="26"/>
      <c r="D75" s="118" t="s">
        <v>429</v>
      </c>
      <c r="E75" s="119" t="s">
        <v>429</v>
      </c>
      <c r="F75" s="119" t="s">
        <v>429</v>
      </c>
      <c r="G75" s="119" t="s">
        <v>429</v>
      </c>
      <c r="H75" s="138" t="s">
        <v>542</v>
      </c>
      <c r="I75" s="1"/>
      <c r="J75" s="15" t="s">
        <v>522</v>
      </c>
      <c r="K75" s="14" t="s">
        <v>411</v>
      </c>
      <c r="L75" t="s">
        <v>6</v>
      </c>
      <c r="M75" t="s">
        <v>7</v>
      </c>
      <c r="N75" s="22" t="s">
        <v>442</v>
      </c>
    </row>
    <row r="76" spans="1:14" x14ac:dyDescent="0.25">
      <c r="A76" s="67">
        <f t="shared" ref="A76:A77" si="7">A75+1</f>
        <v>65</v>
      </c>
      <c r="B76" s="26"/>
      <c r="D76" s="118" t="s">
        <v>429</v>
      </c>
      <c r="E76" s="119" t="s">
        <v>429</v>
      </c>
      <c r="F76" s="119" t="s">
        <v>429</v>
      </c>
      <c r="G76" s="119" t="s">
        <v>429</v>
      </c>
      <c r="H76" s="138" t="s">
        <v>542</v>
      </c>
      <c r="I76" s="1"/>
      <c r="J76" s="15" t="s">
        <v>523</v>
      </c>
      <c r="K76" s="26" t="s">
        <v>435</v>
      </c>
      <c r="L76" t="s">
        <v>6</v>
      </c>
      <c r="M76" t="s">
        <v>7</v>
      </c>
      <c r="N76" s="22" t="s">
        <v>445</v>
      </c>
    </row>
    <row r="77" spans="1:14" x14ac:dyDescent="0.25">
      <c r="A77" s="67">
        <f t="shared" si="7"/>
        <v>66</v>
      </c>
      <c r="B77" s="68" t="s">
        <v>539</v>
      </c>
      <c r="C77" s="68"/>
      <c r="D77" s="111" t="s">
        <v>510</v>
      </c>
      <c r="E77" s="106" t="s">
        <v>487</v>
      </c>
      <c r="F77" s="106" t="s">
        <v>511</v>
      </c>
      <c r="G77" t="s">
        <v>541</v>
      </c>
      <c r="H77" s="133" t="s">
        <v>540</v>
      </c>
      <c r="I77" s="1"/>
      <c r="J77" s="14" t="s">
        <v>347</v>
      </c>
      <c r="K77" s="14" t="s">
        <v>382</v>
      </c>
      <c r="L77" t="s">
        <v>6</v>
      </c>
      <c r="M77" t="s">
        <v>7</v>
      </c>
      <c r="N77" s="22">
        <v>7</v>
      </c>
    </row>
    <row r="78" spans="1:14" x14ac:dyDescent="0.25">
      <c r="A78" s="72">
        <f>A77+1</f>
        <v>67</v>
      </c>
      <c r="D78" s="111" t="s">
        <v>510</v>
      </c>
      <c r="E78" s="106" t="s">
        <v>487</v>
      </c>
      <c r="F78" s="106" t="s">
        <v>511</v>
      </c>
      <c r="G78" s="26" t="s">
        <v>541</v>
      </c>
      <c r="H78" s="133" t="s">
        <v>540</v>
      </c>
      <c r="I78" s="1"/>
      <c r="J78" s="14" t="s">
        <v>395</v>
      </c>
      <c r="K78" s="14" t="s">
        <v>382</v>
      </c>
      <c r="L78" t="s">
        <v>6</v>
      </c>
      <c r="M78" t="s">
        <v>7</v>
      </c>
      <c r="N78" s="22"/>
    </row>
    <row r="79" spans="1:14" x14ac:dyDescent="0.25">
      <c r="A79" s="93"/>
      <c r="B79" s="35"/>
      <c r="C79" s="35"/>
      <c r="D79" s="8"/>
      <c r="E79" s="35"/>
      <c r="F79" s="35"/>
      <c r="G79" s="35"/>
      <c r="H79" s="132"/>
      <c r="I79" s="8" t="s">
        <v>477</v>
      </c>
      <c r="J79" s="35"/>
      <c r="K79" s="35"/>
      <c r="L79" s="35"/>
      <c r="M79" s="35"/>
      <c r="N79" s="42"/>
    </row>
    <row r="80" spans="1:14" x14ac:dyDescent="0.25">
      <c r="A80" s="72">
        <f>A78+1</f>
        <v>68</v>
      </c>
      <c r="B80" s="68" t="s">
        <v>539</v>
      </c>
      <c r="C80" s="69"/>
      <c r="D80" s="118" t="s">
        <v>429</v>
      </c>
      <c r="E80" s="119" t="s">
        <v>429</v>
      </c>
      <c r="F80" s="119" t="s">
        <v>429</v>
      </c>
      <c r="G80" s="119" t="s">
        <v>429</v>
      </c>
      <c r="H80" s="138" t="s">
        <v>542</v>
      </c>
      <c r="I80" s="1"/>
      <c r="J80" s="14" t="s">
        <v>189</v>
      </c>
      <c r="K80" t="s">
        <v>435</v>
      </c>
      <c r="L80" t="s">
        <v>6</v>
      </c>
      <c r="M80" t="s">
        <v>7</v>
      </c>
      <c r="N80" s="22" t="s">
        <v>369</v>
      </c>
    </row>
    <row r="81" spans="1:14" x14ac:dyDescent="0.25">
      <c r="A81" s="72">
        <f>A80+1</f>
        <v>69</v>
      </c>
      <c r="D81" s="112" t="s">
        <v>486</v>
      </c>
      <c r="E81" s="113" t="s">
        <v>487</v>
      </c>
      <c r="F81" s="113" t="s">
        <v>488</v>
      </c>
      <c r="G81" s="26" t="s">
        <v>525</v>
      </c>
      <c r="H81" s="133" t="s">
        <v>540</v>
      </c>
      <c r="I81" s="1"/>
      <c r="J81" s="14" t="s">
        <v>370</v>
      </c>
      <c r="K81" t="s">
        <v>420</v>
      </c>
      <c r="L81" t="s">
        <v>6</v>
      </c>
      <c r="M81" t="s">
        <v>7</v>
      </c>
      <c r="N81" s="22"/>
    </row>
    <row r="82" spans="1:14" x14ac:dyDescent="0.25">
      <c r="A82" s="72">
        <f t="shared" ref="A82:A84" si="8">A81+1</f>
        <v>70</v>
      </c>
      <c r="D82" s="112" t="s">
        <v>486</v>
      </c>
      <c r="E82" s="113" t="s">
        <v>487</v>
      </c>
      <c r="F82" s="113" t="s">
        <v>488</v>
      </c>
      <c r="G82" s="26" t="s">
        <v>529</v>
      </c>
      <c r="H82" s="133" t="s">
        <v>540</v>
      </c>
      <c r="I82" s="1"/>
      <c r="J82" s="14" t="s">
        <v>104</v>
      </c>
      <c r="K82" s="14" t="s">
        <v>381</v>
      </c>
      <c r="L82" t="s">
        <v>6</v>
      </c>
      <c r="M82" t="s">
        <v>7</v>
      </c>
      <c r="N82" s="22"/>
    </row>
    <row r="83" spans="1:14" x14ac:dyDescent="0.25">
      <c r="A83" s="72">
        <f t="shared" si="8"/>
        <v>71</v>
      </c>
      <c r="D83" s="105" t="s">
        <v>486</v>
      </c>
      <c r="E83" s="117" t="s">
        <v>487</v>
      </c>
      <c r="F83" s="123" t="s">
        <v>488</v>
      </c>
      <c r="G83" s="129" t="s">
        <v>517</v>
      </c>
      <c r="H83" s="133" t="s">
        <v>540</v>
      </c>
      <c r="I83" s="1"/>
      <c r="J83" s="14" t="s">
        <v>252</v>
      </c>
      <c r="K83" s="14" t="s">
        <v>383</v>
      </c>
      <c r="L83" t="s">
        <v>105</v>
      </c>
      <c r="M83" t="s">
        <v>7</v>
      </c>
      <c r="N83" s="22"/>
    </row>
    <row r="84" spans="1:14" x14ac:dyDescent="0.25">
      <c r="A84" s="72">
        <f t="shared" si="8"/>
        <v>72</v>
      </c>
      <c r="D84" s="105" t="s">
        <v>486</v>
      </c>
      <c r="E84" s="117" t="s">
        <v>487</v>
      </c>
      <c r="F84" s="123" t="s">
        <v>488</v>
      </c>
      <c r="G84" s="129" t="s">
        <v>517</v>
      </c>
      <c r="H84" s="131" t="s">
        <v>538</v>
      </c>
      <c r="I84" s="1"/>
      <c r="J84" s="14" t="s">
        <v>253</v>
      </c>
      <c r="K84" s="14" t="s">
        <v>381</v>
      </c>
      <c r="L84" t="s">
        <v>371</v>
      </c>
      <c r="M84" t="s">
        <v>7</v>
      </c>
      <c r="N84" s="22"/>
    </row>
    <row r="85" spans="1:14" x14ac:dyDescent="0.25">
      <c r="A85" s="90"/>
      <c r="B85" s="35"/>
      <c r="C85" s="35"/>
      <c r="D85" s="8"/>
      <c r="E85" s="35"/>
      <c r="F85" s="35"/>
      <c r="G85" s="35"/>
      <c r="H85" s="132"/>
      <c r="I85" s="91" t="s">
        <v>475</v>
      </c>
      <c r="J85" s="34"/>
      <c r="K85" s="35"/>
      <c r="L85" s="35"/>
      <c r="M85" s="35"/>
      <c r="N85" s="42"/>
    </row>
    <row r="86" spans="1:14" ht="16.5" customHeight="1" x14ac:dyDescent="0.25">
      <c r="A86" s="72">
        <f>A84+1</f>
        <v>73</v>
      </c>
      <c r="D86" s="118" t="s">
        <v>429</v>
      </c>
      <c r="E86" s="119" t="s">
        <v>429</v>
      </c>
      <c r="F86" s="119" t="s">
        <v>429</v>
      </c>
      <c r="G86" s="119" t="s">
        <v>429</v>
      </c>
      <c r="H86" s="138" t="s">
        <v>542</v>
      </c>
      <c r="I86" s="1"/>
      <c r="J86" s="14" t="s">
        <v>436</v>
      </c>
      <c r="K86" s="14" t="s">
        <v>383</v>
      </c>
      <c r="L86" t="s">
        <v>147</v>
      </c>
      <c r="M86" t="s">
        <v>7</v>
      </c>
      <c r="N86" s="43"/>
    </row>
    <row r="87" spans="1:14" x14ac:dyDescent="0.25">
      <c r="A87" s="72">
        <f t="shared" ref="A87:A88" si="9">A86+1</f>
        <v>74</v>
      </c>
      <c r="D87" s="105" t="s">
        <v>489</v>
      </c>
      <c r="E87" s="106" t="s">
        <v>495</v>
      </c>
      <c r="F87" s="117" t="s">
        <v>490</v>
      </c>
      <c r="G87" t="s">
        <v>530</v>
      </c>
      <c r="H87" s="131" t="s">
        <v>538</v>
      </c>
      <c r="I87" s="1"/>
      <c r="J87" s="15" t="s">
        <v>393</v>
      </c>
      <c r="K87" t="s">
        <v>420</v>
      </c>
      <c r="L87" t="s">
        <v>6</v>
      </c>
      <c r="M87" t="s">
        <v>7</v>
      </c>
      <c r="N87" s="43"/>
    </row>
    <row r="88" spans="1:14" x14ac:dyDescent="0.25">
      <c r="A88" s="72">
        <f t="shared" si="9"/>
        <v>75</v>
      </c>
      <c r="D88" s="105" t="s">
        <v>489</v>
      </c>
      <c r="E88" s="106" t="s">
        <v>487</v>
      </c>
      <c r="F88" s="106" t="s">
        <v>490</v>
      </c>
      <c r="G88" t="s">
        <v>401</v>
      </c>
      <c r="H88" s="133" t="s">
        <v>540</v>
      </c>
      <c r="I88" s="1"/>
      <c r="J88" s="14" t="s">
        <v>418</v>
      </c>
      <c r="K88" s="15" t="s">
        <v>419</v>
      </c>
      <c r="L88" t="s">
        <v>6</v>
      </c>
      <c r="M88" t="s">
        <v>7</v>
      </c>
      <c r="N88" s="43"/>
    </row>
    <row r="89" spans="1:14" x14ac:dyDescent="0.25">
      <c r="A89" s="93"/>
      <c r="B89" s="35"/>
      <c r="C89" s="35"/>
      <c r="D89" s="8"/>
      <c r="E89" s="35"/>
      <c r="F89" s="35"/>
      <c r="G89" s="35"/>
      <c r="H89" s="132"/>
      <c r="I89" s="91" t="s">
        <v>476</v>
      </c>
      <c r="J89" s="35"/>
      <c r="K89" s="34"/>
      <c r="L89" s="35"/>
      <c r="M89" s="35"/>
      <c r="N89" s="95"/>
    </row>
    <row r="90" spans="1:14" ht="15" customHeight="1" x14ac:dyDescent="0.25">
      <c r="A90" s="72">
        <f>A88+1</f>
        <v>76</v>
      </c>
      <c r="B90" s="68" t="s">
        <v>539</v>
      </c>
      <c r="C90" s="92" t="s">
        <v>527</v>
      </c>
      <c r="D90" s="118" t="s">
        <v>429</v>
      </c>
      <c r="E90" s="119" t="s">
        <v>429</v>
      </c>
      <c r="F90" s="119" t="s">
        <v>429</v>
      </c>
      <c r="G90" s="119" t="s">
        <v>429</v>
      </c>
      <c r="H90" s="138" t="s">
        <v>542</v>
      </c>
      <c r="I90" s="1"/>
      <c r="J90" s="14" t="s">
        <v>406</v>
      </c>
      <c r="K90" s="14" t="s">
        <v>382</v>
      </c>
      <c r="L90" t="s">
        <v>373</v>
      </c>
      <c r="M90" t="s">
        <v>7</v>
      </c>
      <c r="N90" s="43">
        <v>1</v>
      </c>
    </row>
    <row r="91" spans="1:14" ht="15" customHeight="1" x14ac:dyDescent="0.25">
      <c r="A91" s="72">
        <f>A90+1</f>
        <v>77</v>
      </c>
      <c r="D91" s="112" t="s">
        <v>489</v>
      </c>
      <c r="E91" s="113" t="s">
        <v>487</v>
      </c>
      <c r="F91" s="113" t="s">
        <v>490</v>
      </c>
      <c r="G91" t="s">
        <v>494</v>
      </c>
      <c r="H91" s="131" t="s">
        <v>538</v>
      </c>
      <c r="I91" s="1"/>
      <c r="J91" s="15" t="s">
        <v>558</v>
      </c>
      <c r="K91" t="s">
        <v>420</v>
      </c>
      <c r="L91" t="s">
        <v>6</v>
      </c>
      <c r="M91" t="s">
        <v>7</v>
      </c>
      <c r="N91" s="45" t="s">
        <v>346</v>
      </c>
    </row>
    <row r="92" spans="1:14" ht="15" customHeight="1" x14ac:dyDescent="0.25">
      <c r="A92" s="72">
        <f t="shared" ref="A92:A96" si="10">A91+1</f>
        <v>78</v>
      </c>
      <c r="D92" s="112" t="s">
        <v>489</v>
      </c>
      <c r="E92" s="113" t="s">
        <v>487</v>
      </c>
      <c r="F92" s="113" t="s">
        <v>490</v>
      </c>
      <c r="G92" t="s">
        <v>494</v>
      </c>
      <c r="H92" s="131" t="s">
        <v>538</v>
      </c>
      <c r="I92" s="1"/>
      <c r="J92" s="15" t="s">
        <v>551</v>
      </c>
      <c r="K92" s="15" t="s">
        <v>552</v>
      </c>
      <c r="L92" t="s">
        <v>6</v>
      </c>
      <c r="M92" t="s">
        <v>7</v>
      </c>
      <c r="N92" s="45" t="s">
        <v>532</v>
      </c>
    </row>
    <row r="93" spans="1:14" ht="15" customHeight="1" x14ac:dyDescent="0.25">
      <c r="A93" s="72">
        <f t="shared" si="10"/>
        <v>79</v>
      </c>
      <c r="D93" s="105" t="s">
        <v>489</v>
      </c>
      <c r="E93" s="106" t="s">
        <v>487</v>
      </c>
      <c r="F93" s="106" t="s">
        <v>490</v>
      </c>
      <c r="G93" t="s">
        <v>554</v>
      </c>
      <c r="H93" s="131" t="s">
        <v>538</v>
      </c>
      <c r="I93" s="1"/>
      <c r="J93" s="15" t="s">
        <v>555</v>
      </c>
      <c r="K93" t="s">
        <v>420</v>
      </c>
      <c r="L93" t="s">
        <v>6</v>
      </c>
      <c r="M93" t="s">
        <v>7</v>
      </c>
      <c r="N93" s="45" t="s">
        <v>169</v>
      </c>
    </row>
    <row r="94" spans="1:14" ht="15" customHeight="1" x14ac:dyDescent="0.25">
      <c r="A94" s="72">
        <f t="shared" si="10"/>
        <v>80</v>
      </c>
      <c r="D94" s="105" t="s">
        <v>489</v>
      </c>
      <c r="E94" s="106" t="s">
        <v>487</v>
      </c>
      <c r="F94" s="106" t="s">
        <v>490</v>
      </c>
      <c r="G94" t="s">
        <v>554</v>
      </c>
      <c r="H94" s="131" t="s">
        <v>538</v>
      </c>
      <c r="I94" s="1"/>
      <c r="J94" s="15" t="s">
        <v>559</v>
      </c>
      <c r="K94" s="15" t="s">
        <v>560</v>
      </c>
      <c r="L94" t="s">
        <v>6</v>
      </c>
      <c r="M94" t="s">
        <v>7</v>
      </c>
      <c r="N94" s="45"/>
    </row>
    <row r="95" spans="1:14" ht="15" customHeight="1" x14ac:dyDescent="0.25">
      <c r="A95" s="72">
        <f t="shared" si="10"/>
        <v>81</v>
      </c>
      <c r="D95" s="111" t="s">
        <v>515</v>
      </c>
      <c r="E95" s="106" t="s">
        <v>493</v>
      </c>
      <c r="F95" s="106" t="s">
        <v>488</v>
      </c>
      <c r="G95" t="s">
        <v>531</v>
      </c>
      <c r="H95" s="131" t="s">
        <v>538</v>
      </c>
      <c r="I95" s="1"/>
      <c r="J95" s="15" t="s">
        <v>556</v>
      </c>
      <c r="K95" t="s">
        <v>420</v>
      </c>
      <c r="L95" t="s">
        <v>6</v>
      </c>
      <c r="M95" t="s">
        <v>7</v>
      </c>
      <c r="N95" s="45" t="s">
        <v>346</v>
      </c>
    </row>
    <row r="96" spans="1:14" ht="15" customHeight="1" x14ac:dyDescent="0.25">
      <c r="A96" s="72">
        <f t="shared" si="10"/>
        <v>82</v>
      </c>
      <c r="D96" s="111" t="s">
        <v>515</v>
      </c>
      <c r="E96" s="106" t="s">
        <v>493</v>
      </c>
      <c r="F96" s="106" t="s">
        <v>488</v>
      </c>
      <c r="G96" t="s">
        <v>531</v>
      </c>
      <c r="H96" s="131" t="s">
        <v>538</v>
      </c>
      <c r="I96" s="1"/>
      <c r="J96" s="15" t="s">
        <v>557</v>
      </c>
      <c r="K96" s="15" t="s">
        <v>561</v>
      </c>
      <c r="L96" t="s">
        <v>6</v>
      </c>
      <c r="M96" t="s">
        <v>7</v>
      </c>
      <c r="N96" s="45" t="s">
        <v>532</v>
      </c>
    </row>
    <row r="97" spans="1:14" x14ac:dyDescent="0.25">
      <c r="A97" s="125"/>
      <c r="B97" s="54" t="s">
        <v>405</v>
      </c>
      <c r="C97" s="54"/>
      <c r="D97" s="126"/>
      <c r="E97" s="54"/>
      <c r="F97" s="54"/>
      <c r="G97" s="54"/>
      <c r="H97" s="133"/>
      <c r="I97" s="126"/>
      <c r="J97" s="127"/>
      <c r="K97" s="127"/>
      <c r="L97" s="54"/>
      <c r="M97" s="54"/>
      <c r="N97" s="128"/>
    </row>
    <row r="98" spans="1:14" x14ac:dyDescent="0.25">
      <c r="A98" s="75"/>
      <c r="B98" s="76"/>
      <c r="C98" s="76"/>
      <c r="D98" s="77"/>
      <c r="E98" s="76"/>
      <c r="F98" s="76"/>
      <c r="G98" s="76"/>
      <c r="H98" s="134"/>
      <c r="I98" s="124" t="s">
        <v>534</v>
      </c>
      <c r="J98" s="76"/>
      <c r="K98" s="76"/>
      <c r="L98" s="76"/>
      <c r="M98" s="76"/>
      <c r="N98" s="78"/>
    </row>
    <row r="99" spans="1:14" x14ac:dyDescent="0.25">
      <c r="A99" s="79"/>
      <c r="B99" s="80"/>
      <c r="C99" s="80"/>
      <c r="D99" s="114" t="s">
        <v>489</v>
      </c>
      <c r="E99" s="115" t="s">
        <v>487</v>
      </c>
      <c r="F99" s="116" t="s">
        <v>490</v>
      </c>
      <c r="G99" s="80" t="s">
        <v>402</v>
      </c>
      <c r="H99" s="135"/>
      <c r="I99" s="81"/>
      <c r="J99" s="82" t="s">
        <v>350</v>
      </c>
      <c r="K99" s="82" t="s">
        <v>383</v>
      </c>
      <c r="L99" s="80" t="s">
        <v>86</v>
      </c>
      <c r="M99" s="80" t="s">
        <v>7</v>
      </c>
      <c r="N99" s="43"/>
    </row>
    <row r="100" spans="1:14" x14ac:dyDescent="0.25">
      <c r="A100" s="79"/>
      <c r="B100" s="83"/>
      <c r="C100" s="83"/>
      <c r="D100" s="114" t="s">
        <v>486</v>
      </c>
      <c r="E100" s="115" t="s">
        <v>493</v>
      </c>
      <c r="F100" s="116" t="s">
        <v>488</v>
      </c>
      <c r="G100" s="80" t="s">
        <v>496</v>
      </c>
      <c r="H100" s="135"/>
      <c r="I100" s="81"/>
      <c r="J100" s="82" t="s">
        <v>349</v>
      </c>
      <c r="K100" s="82" t="s">
        <v>383</v>
      </c>
      <c r="L100" s="80" t="s">
        <v>86</v>
      </c>
      <c r="M100" s="80" t="s">
        <v>7</v>
      </c>
      <c r="N100" s="43"/>
    </row>
    <row r="101" spans="1:14" x14ac:dyDescent="0.25">
      <c r="A101" s="79"/>
      <c r="B101" s="80"/>
      <c r="C101" s="80"/>
      <c r="D101" s="81"/>
      <c r="E101" s="80"/>
      <c r="F101" s="80"/>
      <c r="G101" s="80"/>
      <c r="H101" s="135"/>
      <c r="I101" s="81"/>
      <c r="J101" s="82" t="s">
        <v>114</v>
      </c>
      <c r="K101" s="82" t="s">
        <v>76</v>
      </c>
      <c r="L101" s="80" t="s">
        <v>76</v>
      </c>
      <c r="M101" s="80" t="s">
        <v>7</v>
      </c>
      <c r="N101" s="43"/>
    </row>
    <row r="102" spans="1:14" x14ac:dyDescent="0.25">
      <c r="A102" s="79"/>
      <c r="B102" s="80"/>
      <c r="C102" s="80"/>
      <c r="D102" s="81"/>
      <c r="E102" s="80"/>
      <c r="F102" s="80"/>
      <c r="G102" s="80"/>
      <c r="H102" s="135"/>
      <c r="I102" s="81"/>
      <c r="J102" s="80" t="s">
        <v>115</v>
      </c>
      <c r="K102" s="80" t="s">
        <v>76</v>
      </c>
      <c r="L102" s="80" t="s">
        <v>76</v>
      </c>
      <c r="M102" s="80" t="s">
        <v>7</v>
      </c>
      <c r="N102" s="43"/>
    </row>
    <row r="103" spans="1:14" x14ac:dyDescent="0.25">
      <c r="A103" s="75"/>
      <c r="B103" s="76"/>
      <c r="C103" s="76"/>
      <c r="D103" s="77"/>
      <c r="E103" s="76"/>
      <c r="F103" s="76"/>
      <c r="G103" s="130"/>
      <c r="H103" s="136"/>
      <c r="I103" s="124" t="s">
        <v>478</v>
      </c>
      <c r="J103" s="76"/>
      <c r="K103" s="76"/>
      <c r="L103" s="76"/>
      <c r="M103" s="76"/>
      <c r="N103" s="78"/>
    </row>
    <row r="104" spans="1:14" x14ac:dyDescent="0.25">
      <c r="A104" s="79"/>
      <c r="B104" s="80"/>
      <c r="C104" s="80"/>
      <c r="D104" s="81"/>
      <c r="E104" s="80"/>
      <c r="F104" s="80"/>
      <c r="G104" s="80"/>
      <c r="H104" s="135"/>
      <c r="I104" s="81"/>
      <c r="J104" s="82" t="s">
        <v>241</v>
      </c>
      <c r="K104" s="80" t="s">
        <v>381</v>
      </c>
      <c r="L104" s="80" t="s">
        <v>6</v>
      </c>
      <c r="M104" s="80" t="s">
        <v>7</v>
      </c>
      <c r="N104" s="50" t="s">
        <v>339</v>
      </c>
    </row>
    <row r="105" spans="1:14" x14ac:dyDescent="0.25">
      <c r="A105" s="79"/>
      <c r="B105" s="84"/>
      <c r="C105" s="84"/>
      <c r="D105" s="109"/>
      <c r="E105" s="84"/>
      <c r="F105" s="84"/>
      <c r="G105" s="80"/>
      <c r="H105" s="135"/>
      <c r="I105" s="81"/>
      <c r="J105" s="82" t="s">
        <v>238</v>
      </c>
      <c r="K105" s="80" t="s">
        <v>381</v>
      </c>
      <c r="L105" s="80" t="s">
        <v>6</v>
      </c>
      <c r="M105" s="80" t="s">
        <v>7</v>
      </c>
      <c r="N105" s="50">
        <v>34933662100</v>
      </c>
    </row>
    <row r="106" spans="1:14" x14ac:dyDescent="0.25">
      <c r="A106" s="79"/>
      <c r="B106" s="85"/>
      <c r="C106" s="85"/>
      <c r="D106" s="110"/>
      <c r="E106" s="85"/>
      <c r="F106" s="85"/>
      <c r="G106" s="80"/>
      <c r="H106" s="135"/>
      <c r="I106" s="81"/>
      <c r="J106" s="82" t="s">
        <v>239</v>
      </c>
      <c r="K106" s="80" t="s">
        <v>381</v>
      </c>
      <c r="L106" s="80" t="s">
        <v>6</v>
      </c>
      <c r="M106" s="80" t="s">
        <v>7</v>
      </c>
      <c r="N106" s="50"/>
    </row>
    <row r="107" spans="1:14" x14ac:dyDescent="0.25">
      <c r="A107" s="79"/>
      <c r="B107" s="85"/>
      <c r="C107" s="85"/>
      <c r="D107" s="110"/>
      <c r="E107" s="85"/>
      <c r="F107" s="85"/>
      <c r="G107" s="80"/>
      <c r="H107" s="135"/>
      <c r="I107" s="81"/>
      <c r="J107" s="82" t="s">
        <v>240</v>
      </c>
      <c r="K107" s="80" t="s">
        <v>381</v>
      </c>
      <c r="L107" s="80" t="s">
        <v>6</v>
      </c>
      <c r="M107" s="80" t="s">
        <v>7</v>
      </c>
      <c r="N107" s="24" t="s">
        <v>368</v>
      </c>
    </row>
    <row r="108" spans="1:14" x14ac:dyDescent="0.25">
      <c r="A108" s="79"/>
      <c r="B108" s="80"/>
      <c r="C108" s="80"/>
      <c r="D108" s="81"/>
      <c r="E108" s="80"/>
      <c r="F108" s="80"/>
      <c r="G108" s="80"/>
      <c r="H108" s="135"/>
      <c r="I108" s="81"/>
      <c r="J108" s="82" t="s">
        <v>74</v>
      </c>
      <c r="K108" s="80" t="s">
        <v>381</v>
      </c>
      <c r="L108" s="80" t="s">
        <v>6</v>
      </c>
      <c r="M108" s="80" t="s">
        <v>7</v>
      </c>
      <c r="N108" s="22"/>
    </row>
    <row r="109" spans="1:14" x14ac:dyDescent="0.25">
      <c r="A109" s="79"/>
      <c r="B109" s="80"/>
      <c r="C109" s="80"/>
      <c r="D109" s="81"/>
      <c r="E109" s="80"/>
      <c r="F109" s="80"/>
      <c r="G109" s="80"/>
      <c r="H109" s="135"/>
      <c r="I109" s="81"/>
      <c r="J109" s="82" t="s">
        <v>242</v>
      </c>
      <c r="K109" s="80" t="s">
        <v>381</v>
      </c>
      <c r="L109" s="80" t="s">
        <v>6</v>
      </c>
      <c r="M109" s="80" t="s">
        <v>7</v>
      </c>
      <c r="N109" s="22"/>
    </row>
    <row r="110" spans="1:14" x14ac:dyDescent="0.25">
      <c r="A110" s="79"/>
      <c r="B110" s="80"/>
      <c r="C110" s="80"/>
      <c r="D110" s="81"/>
      <c r="E110" s="80"/>
      <c r="F110" s="80"/>
      <c r="G110" s="80"/>
      <c r="H110" s="135"/>
      <c r="I110" s="81"/>
      <c r="J110" s="82" t="s">
        <v>243</v>
      </c>
      <c r="K110" s="80" t="s">
        <v>381</v>
      </c>
      <c r="L110" s="80" t="s">
        <v>6</v>
      </c>
      <c r="M110" s="80" t="s">
        <v>7</v>
      </c>
      <c r="N110" s="51"/>
    </row>
    <row r="111" spans="1:14" ht="15.75" thickBot="1" x14ac:dyDescent="0.3">
      <c r="A111" s="86"/>
      <c r="B111" s="87"/>
      <c r="C111" s="87"/>
      <c r="D111" s="88"/>
      <c r="E111" s="87"/>
      <c r="F111" s="87"/>
      <c r="G111" s="87"/>
      <c r="H111" s="137"/>
      <c r="I111" s="88"/>
      <c r="J111" s="89" t="s">
        <v>244</v>
      </c>
      <c r="K111" s="87" t="s">
        <v>381</v>
      </c>
      <c r="L111" s="87" t="s">
        <v>6</v>
      </c>
      <c r="M111" s="87" t="s">
        <v>7</v>
      </c>
      <c r="N111" s="101"/>
    </row>
    <row r="112" spans="1:14" x14ac:dyDescent="0.25">
      <c r="J112" s="18"/>
      <c r="K112" s="18"/>
    </row>
    <row r="117" spans="10:11" x14ac:dyDescent="0.25">
      <c r="J117" s="18"/>
      <c r="K117" s="18"/>
    </row>
    <row r="218" spans="10:11" x14ac:dyDescent="0.25">
      <c r="J218" s="7" t="s">
        <v>19</v>
      </c>
      <c r="K218" s="7"/>
    </row>
    <row r="219" spans="10:11" x14ac:dyDescent="0.25">
      <c r="J219" t="s">
        <v>5</v>
      </c>
    </row>
    <row r="220" spans="10:11" x14ac:dyDescent="0.25">
      <c r="J220" t="s">
        <v>116</v>
      </c>
    </row>
    <row r="221" spans="10:11" x14ac:dyDescent="0.25">
      <c r="J221" t="s">
        <v>117</v>
      </c>
    </row>
    <row r="222" spans="10:11" x14ac:dyDescent="0.25">
      <c r="J222" t="s">
        <v>118</v>
      </c>
    </row>
    <row r="223" spans="10:11" x14ac:dyDescent="0.25">
      <c r="J223" t="s">
        <v>119</v>
      </c>
    </row>
    <row r="224" spans="10:11" x14ac:dyDescent="0.25">
      <c r="J224" t="s">
        <v>120</v>
      </c>
    </row>
    <row r="225" spans="10:11" x14ac:dyDescent="0.25">
      <c r="J225" t="s">
        <v>121</v>
      </c>
    </row>
    <row r="226" spans="10:11" x14ac:dyDescent="0.25">
      <c r="J226" t="s">
        <v>122</v>
      </c>
    </row>
    <row r="227" spans="10:11" x14ac:dyDescent="0.25">
      <c r="J227" t="s">
        <v>123</v>
      </c>
    </row>
    <row r="228" spans="10:11" x14ac:dyDescent="0.25">
      <c r="J228" t="s">
        <v>124</v>
      </c>
    </row>
    <row r="229" spans="10:11" x14ac:dyDescent="0.25">
      <c r="J229" t="s">
        <v>125</v>
      </c>
    </row>
    <row r="232" spans="10:11" x14ac:dyDescent="0.25">
      <c r="J232" s="6" t="s">
        <v>38</v>
      </c>
      <c r="K232" s="6"/>
    </row>
    <row r="233" spans="10:11" x14ac:dyDescent="0.25">
      <c r="J233" t="s">
        <v>126</v>
      </c>
    </row>
    <row r="234" spans="10:11" x14ac:dyDescent="0.25">
      <c r="J234" t="s">
        <v>127</v>
      </c>
    </row>
    <row r="235" spans="10:11" x14ac:dyDescent="0.25">
      <c r="J235" t="s">
        <v>128</v>
      </c>
    </row>
    <row r="238" spans="10:11" x14ac:dyDescent="0.25">
      <c r="J238" s="6" t="s">
        <v>129</v>
      </c>
      <c r="K238" s="6"/>
    </row>
    <row r="239" spans="10:11" x14ac:dyDescent="0.25">
      <c r="J239" t="s">
        <v>130</v>
      </c>
    </row>
    <row r="240" spans="10:11" x14ac:dyDescent="0.25">
      <c r="J240" t="s">
        <v>131</v>
      </c>
    </row>
    <row r="241" spans="10:11" x14ac:dyDescent="0.25">
      <c r="J241" t="s">
        <v>132</v>
      </c>
    </row>
    <row r="244" spans="10:11" x14ac:dyDescent="0.25">
      <c r="J244" s="6" t="s">
        <v>81</v>
      </c>
      <c r="K244" s="6"/>
    </row>
    <row r="245" spans="10:11" x14ac:dyDescent="0.25">
      <c r="J245" t="s">
        <v>133</v>
      </c>
    </row>
    <row r="246" spans="10:11" x14ac:dyDescent="0.25">
      <c r="J246" t="s">
        <v>134</v>
      </c>
    </row>
    <row r="247" spans="10:11" x14ac:dyDescent="0.25">
      <c r="J247" t="s">
        <v>135</v>
      </c>
    </row>
    <row r="248" spans="10:11" x14ac:dyDescent="0.25">
      <c r="J248" t="s">
        <v>136</v>
      </c>
    </row>
    <row r="250" spans="10:11" x14ac:dyDescent="0.25">
      <c r="J250" s="6" t="s">
        <v>82</v>
      </c>
      <c r="K250" s="6"/>
    </row>
    <row r="251" spans="10:11" x14ac:dyDescent="0.25">
      <c r="J251" t="s">
        <v>137</v>
      </c>
    </row>
    <row r="252" spans="10:11" x14ac:dyDescent="0.25">
      <c r="J252" t="s">
        <v>138</v>
      </c>
    </row>
    <row r="253" spans="10:11" x14ac:dyDescent="0.25">
      <c r="J253" t="s">
        <v>139</v>
      </c>
    </row>
    <row r="254" spans="10:11" x14ac:dyDescent="0.25">
      <c r="J254" t="s">
        <v>140</v>
      </c>
    </row>
    <row r="256" spans="10:11" x14ac:dyDescent="0.25">
      <c r="J256" s="6" t="s">
        <v>83</v>
      </c>
      <c r="K256" s="6"/>
    </row>
    <row r="257" spans="10:11" x14ac:dyDescent="0.25">
      <c r="J257" t="s">
        <v>141</v>
      </c>
    </row>
    <row r="258" spans="10:11" x14ac:dyDescent="0.25">
      <c r="J258" t="s">
        <v>142</v>
      </c>
    </row>
    <row r="259" spans="10:11" x14ac:dyDescent="0.25">
      <c r="J259" t="s">
        <v>143</v>
      </c>
    </row>
    <row r="260" spans="10:11" x14ac:dyDescent="0.25">
      <c r="J260" t="s">
        <v>144</v>
      </c>
    </row>
    <row r="263" spans="10:11" x14ac:dyDescent="0.25">
      <c r="J263" s="6" t="s">
        <v>84</v>
      </c>
      <c r="K263" s="6"/>
    </row>
    <row r="264" spans="10:11" x14ac:dyDescent="0.25">
      <c r="J264" t="s">
        <v>145</v>
      </c>
    </row>
    <row r="265" spans="10:11" x14ac:dyDescent="0.25">
      <c r="J265" t="s">
        <v>146</v>
      </c>
    </row>
    <row r="267" spans="10:11" x14ac:dyDescent="0.25">
      <c r="J267" s="6" t="s">
        <v>87</v>
      </c>
      <c r="K267" s="6"/>
    </row>
    <row r="268" spans="10:11" x14ac:dyDescent="0.25">
      <c r="J268" t="s">
        <v>93</v>
      </c>
    </row>
    <row r="269" spans="10:11" x14ac:dyDescent="0.25">
      <c r="J269" t="s">
        <v>95</v>
      </c>
    </row>
    <row r="270" spans="10:11" x14ac:dyDescent="0.25">
      <c r="J270" t="s">
        <v>97</v>
      </c>
    </row>
    <row r="273" spans="10:11" x14ac:dyDescent="0.25">
      <c r="J273" s="6" t="s">
        <v>93</v>
      </c>
      <c r="K273" s="6"/>
    </row>
    <row r="274" spans="10:11" x14ac:dyDescent="0.25">
      <c r="J274" t="s">
        <v>94</v>
      </c>
    </row>
    <row r="275" spans="10:11" x14ac:dyDescent="0.25">
      <c r="J275" t="s">
        <v>96</v>
      </c>
    </row>
    <row r="276" spans="10:11" x14ac:dyDescent="0.25">
      <c r="J276" t="s">
        <v>98</v>
      </c>
    </row>
    <row r="277" spans="10:11" x14ac:dyDescent="0.25">
      <c r="J277" s="6" t="s">
        <v>95</v>
      </c>
      <c r="K277" s="6"/>
    </row>
    <row r="278" spans="10:11" x14ac:dyDescent="0.25">
      <c r="J278" t="s">
        <v>94</v>
      </c>
    </row>
    <row r="279" spans="10:11" x14ac:dyDescent="0.25">
      <c r="J279" t="s">
        <v>96</v>
      </c>
    </row>
    <row r="280" spans="10:11" x14ac:dyDescent="0.25">
      <c r="J280" t="s">
        <v>98</v>
      </c>
    </row>
    <row r="281" spans="10:11" x14ac:dyDescent="0.25">
      <c r="J281" s="6" t="s">
        <v>97</v>
      </c>
      <c r="K281" s="6"/>
    </row>
    <row r="282" spans="10:11" x14ac:dyDescent="0.25">
      <c r="J282" t="s">
        <v>94</v>
      </c>
    </row>
    <row r="283" spans="10:11" x14ac:dyDescent="0.25">
      <c r="J283" t="s">
        <v>96</v>
      </c>
    </row>
    <row r="284" spans="10:11" x14ac:dyDescent="0.25">
      <c r="J284" t="s">
        <v>98</v>
      </c>
    </row>
  </sheetData>
  <mergeCells count="3">
    <mergeCell ref="B1:N1"/>
    <mergeCell ref="C2:C3"/>
    <mergeCell ref="D2:H2"/>
  </mergeCells>
  <dataValidations count="1">
    <dataValidation type="list" allowBlank="1" showInputMessage="1" showErrorMessage="1" sqref="D67:E68 D58:E58" xr:uid="{0E38230A-2440-498D-937D-317431117C92}">
      <formula1>#REF!</formula1>
    </dataValidation>
  </dataValidations>
  <hyperlinks>
    <hyperlink ref="N107" r:id="rId1" xr:uid="{93BFA6A7-E902-4E6A-8624-506F2AD13B33}"/>
    <hyperlink ref="N6" r:id="rId2" xr:uid="{AFB15175-750D-43C7-8AAC-DEE81BD156F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1"/>
  <sheetViews>
    <sheetView zoomScale="85" zoomScaleNormal="85" workbookViewId="0">
      <pane xSplit="10" ySplit="3" topLeftCell="M4" activePane="bottomRight" state="frozen"/>
      <selection pane="topRight" activeCell="C1" sqref="C1"/>
      <selection pane="bottomLeft" activeCell="A3" sqref="A3"/>
      <selection pane="bottomRight" activeCell="O1" sqref="O1:O1048576"/>
    </sheetView>
  </sheetViews>
  <sheetFormatPr baseColWidth="10" defaultColWidth="9.140625" defaultRowHeight="15" x14ac:dyDescent="0.25"/>
  <cols>
    <col min="1" max="1" width="3.140625" style="67" customWidth="1"/>
    <col min="2" max="2" width="11.5703125" bestFit="1" customWidth="1"/>
    <col min="3" max="6" width="5.42578125" customWidth="1"/>
    <col min="7" max="7" width="34.5703125" customWidth="1"/>
    <col min="8" max="8" width="9.140625" style="67" customWidth="1"/>
    <col min="9" max="9" width="3.42578125" customWidth="1"/>
    <col min="10" max="10" width="78.7109375" customWidth="1"/>
    <col min="11" max="11" width="32.7109375" customWidth="1"/>
    <col min="12" max="12" width="14.42578125" customWidth="1"/>
    <col min="13" max="13" width="44.140625" customWidth="1"/>
    <col min="14" max="14" width="63.28515625" style="13" customWidth="1"/>
  </cols>
  <sheetData>
    <row r="1" spans="1:14" ht="15.75" thickBot="1" x14ac:dyDescent="0.3">
      <c r="A1" s="66"/>
      <c r="B1" s="146" t="s">
        <v>505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</row>
    <row r="2" spans="1:14" ht="15" customHeight="1" x14ac:dyDescent="0.25">
      <c r="A2" s="57"/>
      <c r="B2" s="56"/>
      <c r="C2" s="147" t="s">
        <v>412</v>
      </c>
      <c r="D2" s="148" t="s">
        <v>512</v>
      </c>
      <c r="E2" s="149"/>
      <c r="F2" s="149"/>
      <c r="G2" s="149"/>
      <c r="H2" s="150"/>
      <c r="I2" s="9" t="s">
        <v>497</v>
      </c>
      <c r="J2" s="10"/>
      <c r="K2" s="10"/>
      <c r="L2" s="10"/>
      <c r="M2" s="10"/>
      <c r="N2" s="58" t="s">
        <v>498</v>
      </c>
    </row>
    <row r="3" spans="1:14" x14ac:dyDescent="0.25">
      <c r="A3" s="57" t="s">
        <v>396</v>
      </c>
      <c r="B3" s="57" t="s">
        <v>372</v>
      </c>
      <c r="C3" s="147"/>
      <c r="D3" s="71" t="s">
        <v>336</v>
      </c>
      <c r="E3" s="104" t="s">
        <v>483</v>
      </c>
      <c r="F3" s="104" t="s">
        <v>484</v>
      </c>
      <c r="G3" s="57" t="s">
        <v>513</v>
      </c>
      <c r="H3" s="107" t="s">
        <v>537</v>
      </c>
      <c r="I3" s="8"/>
      <c r="J3" s="11" t="s">
        <v>506</v>
      </c>
      <c r="K3" s="11" t="s">
        <v>508</v>
      </c>
      <c r="L3" s="11" t="s">
        <v>507</v>
      </c>
      <c r="M3" s="11" t="s">
        <v>509</v>
      </c>
      <c r="N3" s="41" t="s">
        <v>499</v>
      </c>
    </row>
    <row r="4" spans="1:14" x14ac:dyDescent="0.25">
      <c r="A4" s="93"/>
      <c r="B4" s="35"/>
      <c r="C4" s="35"/>
      <c r="D4" s="8"/>
      <c r="E4" s="35"/>
      <c r="F4" s="35"/>
      <c r="G4" s="35"/>
      <c r="H4" s="132"/>
      <c r="I4" s="8" t="s">
        <v>470</v>
      </c>
      <c r="J4" s="35"/>
      <c r="K4" s="35"/>
      <c r="L4" s="35"/>
      <c r="M4" s="35"/>
      <c r="N4" s="42"/>
    </row>
    <row r="5" spans="1:14" x14ac:dyDescent="0.25">
      <c r="A5" s="72">
        <v>1</v>
      </c>
      <c r="B5" s="68" t="s">
        <v>539</v>
      </c>
      <c r="C5" s="68"/>
      <c r="D5" s="118" t="s">
        <v>429</v>
      </c>
      <c r="E5" s="119" t="s">
        <v>429</v>
      </c>
      <c r="F5" s="119" t="s">
        <v>429</v>
      </c>
      <c r="G5" s="119" t="s">
        <v>429</v>
      </c>
      <c r="H5" s="138" t="s">
        <v>542</v>
      </c>
      <c r="I5" s="1"/>
      <c r="J5" t="s">
        <v>424</v>
      </c>
      <c r="K5" s="27" t="s">
        <v>425</v>
      </c>
      <c r="L5" t="s">
        <v>6</v>
      </c>
      <c r="M5" t="s">
        <v>7</v>
      </c>
      <c r="N5" s="43" t="s">
        <v>187</v>
      </c>
    </row>
    <row r="6" spans="1:14" ht="15" customHeight="1" x14ac:dyDescent="0.25">
      <c r="A6" s="67">
        <f>A5+1</f>
        <v>2</v>
      </c>
      <c r="B6" s="68" t="s">
        <v>539</v>
      </c>
      <c r="C6" s="17"/>
      <c r="D6" s="118" t="s">
        <v>429</v>
      </c>
      <c r="E6" s="119" t="s">
        <v>429</v>
      </c>
      <c r="F6" s="119" t="s">
        <v>429</v>
      </c>
      <c r="G6" s="119" t="s">
        <v>429</v>
      </c>
      <c r="H6" s="138" t="s">
        <v>542</v>
      </c>
      <c r="I6" s="122"/>
      <c r="J6" s="26" t="s">
        <v>526</v>
      </c>
      <c r="K6" s="64" t="s">
        <v>524</v>
      </c>
      <c r="L6" s="26" t="s">
        <v>6</v>
      </c>
      <c r="M6" s="26" t="s">
        <v>7</v>
      </c>
      <c r="N6" s="48" t="s">
        <v>601</v>
      </c>
    </row>
    <row r="7" spans="1:14" x14ac:dyDescent="0.25">
      <c r="A7" s="96">
        <f>A6+1</f>
        <v>3</v>
      </c>
      <c r="B7" s="97" t="s">
        <v>539</v>
      </c>
      <c r="C7" s="98"/>
      <c r="D7" s="120" t="s">
        <v>429</v>
      </c>
      <c r="E7" s="121" t="s">
        <v>429</v>
      </c>
      <c r="F7" s="121" t="s">
        <v>429</v>
      </c>
      <c r="G7" s="121" t="s">
        <v>429</v>
      </c>
      <c r="H7" s="138" t="s">
        <v>542</v>
      </c>
      <c r="I7" s="81"/>
      <c r="J7" s="80" t="s">
        <v>0</v>
      </c>
      <c r="K7" s="99" t="s">
        <v>421</v>
      </c>
      <c r="L7" s="80" t="s">
        <v>6</v>
      </c>
      <c r="M7" s="80" t="s">
        <v>7</v>
      </c>
      <c r="N7" s="43" t="s">
        <v>352</v>
      </c>
    </row>
    <row r="8" spans="1:14" ht="15.6" customHeight="1" x14ac:dyDescent="0.25">
      <c r="A8" s="96">
        <f t="shared" ref="A8:A15" si="0">A7+1</f>
        <v>4</v>
      </c>
      <c r="B8" s="97" t="s">
        <v>539</v>
      </c>
      <c r="C8" s="98"/>
      <c r="D8" s="120" t="s">
        <v>429</v>
      </c>
      <c r="E8" s="121" t="s">
        <v>429</v>
      </c>
      <c r="F8" s="121" t="s">
        <v>429</v>
      </c>
      <c r="G8" s="121" t="s">
        <v>429</v>
      </c>
      <c r="H8" s="138" t="s">
        <v>542</v>
      </c>
      <c r="I8" s="81"/>
      <c r="J8" s="80" t="s">
        <v>184</v>
      </c>
      <c r="K8" s="99" t="s">
        <v>421</v>
      </c>
      <c r="L8" s="80" t="s">
        <v>6</v>
      </c>
      <c r="M8" s="80" t="s">
        <v>7</v>
      </c>
      <c r="N8" s="43" t="s">
        <v>355</v>
      </c>
    </row>
    <row r="9" spans="1:14" x14ac:dyDescent="0.25">
      <c r="A9" s="67">
        <f t="shared" si="0"/>
        <v>5</v>
      </c>
      <c r="B9" s="102"/>
      <c r="C9" s="68"/>
      <c r="D9" s="118" t="s">
        <v>429</v>
      </c>
      <c r="E9" s="119" t="s">
        <v>429</v>
      </c>
      <c r="F9" s="119" t="s">
        <v>429</v>
      </c>
      <c r="G9" s="119" t="s">
        <v>429</v>
      </c>
      <c r="H9" s="138" t="s">
        <v>542</v>
      </c>
      <c r="I9" s="1"/>
      <c r="J9" t="s">
        <v>449</v>
      </c>
      <c r="K9" s="27" t="s">
        <v>451</v>
      </c>
      <c r="L9" t="s">
        <v>6</v>
      </c>
      <c r="M9" t="s">
        <v>7</v>
      </c>
      <c r="N9" s="45" t="s">
        <v>453</v>
      </c>
    </row>
    <row r="10" spans="1:14" x14ac:dyDescent="0.25">
      <c r="A10" s="67">
        <f t="shared" si="0"/>
        <v>6</v>
      </c>
      <c r="B10" s="102"/>
      <c r="C10" s="68"/>
      <c r="D10" s="118" t="s">
        <v>429</v>
      </c>
      <c r="E10" s="119" t="s">
        <v>429</v>
      </c>
      <c r="F10" s="119" t="s">
        <v>429</v>
      </c>
      <c r="G10" s="119" t="s">
        <v>429</v>
      </c>
      <c r="H10" s="138" t="s">
        <v>542</v>
      </c>
      <c r="I10" s="1"/>
      <c r="J10" t="s">
        <v>450</v>
      </c>
      <c r="K10" t="s">
        <v>381</v>
      </c>
      <c r="L10" t="s">
        <v>6</v>
      </c>
      <c r="M10" t="s">
        <v>7</v>
      </c>
      <c r="N10" s="45" t="s">
        <v>452</v>
      </c>
    </row>
    <row r="11" spans="1:14" x14ac:dyDescent="0.25">
      <c r="A11" s="67">
        <f t="shared" si="0"/>
        <v>7</v>
      </c>
      <c r="B11" s="68" t="s">
        <v>539</v>
      </c>
      <c r="C11" s="92" t="s">
        <v>562</v>
      </c>
      <c r="D11" s="105" t="s">
        <v>486</v>
      </c>
      <c r="E11" s="106" t="s">
        <v>487</v>
      </c>
      <c r="F11" s="106" t="s">
        <v>488</v>
      </c>
      <c r="G11" t="s">
        <v>485</v>
      </c>
      <c r="H11" s="131" t="s">
        <v>538</v>
      </c>
      <c r="I11" s="1"/>
      <c r="J11" t="s">
        <v>9</v>
      </c>
      <c r="K11" t="s">
        <v>381</v>
      </c>
      <c r="L11" t="s">
        <v>6</v>
      </c>
      <c r="M11" t="s">
        <v>7</v>
      </c>
      <c r="N11" s="43" t="s">
        <v>148</v>
      </c>
    </row>
    <row r="12" spans="1:14" x14ac:dyDescent="0.25">
      <c r="A12" s="67">
        <f t="shared" si="0"/>
        <v>8</v>
      </c>
      <c r="C12" s="92" t="s">
        <v>562</v>
      </c>
      <c r="D12" s="105" t="s">
        <v>489</v>
      </c>
      <c r="E12" s="106" t="s">
        <v>487</v>
      </c>
      <c r="F12" s="106" t="s">
        <v>490</v>
      </c>
      <c r="G12" t="s">
        <v>491</v>
      </c>
      <c r="H12" s="131" t="s">
        <v>538</v>
      </c>
      <c r="I12" s="1"/>
      <c r="J12" t="s">
        <v>259</v>
      </c>
      <c r="K12" t="s">
        <v>381</v>
      </c>
      <c r="L12" t="s">
        <v>6</v>
      </c>
      <c r="M12" t="s">
        <v>7</v>
      </c>
      <c r="N12" s="45" t="s">
        <v>351</v>
      </c>
    </row>
    <row r="13" spans="1:14" x14ac:dyDescent="0.25">
      <c r="A13" s="67">
        <f t="shared" si="0"/>
        <v>9</v>
      </c>
      <c r="C13" s="92" t="s">
        <v>562</v>
      </c>
      <c r="D13" s="118" t="s">
        <v>429</v>
      </c>
      <c r="E13" s="119" t="s">
        <v>429</v>
      </c>
      <c r="F13" s="119" t="s">
        <v>429</v>
      </c>
      <c r="G13" s="119" t="s">
        <v>429</v>
      </c>
      <c r="H13" s="138" t="s">
        <v>542</v>
      </c>
      <c r="I13" s="1"/>
      <c r="J13" t="s">
        <v>10</v>
      </c>
      <c r="K13" t="s">
        <v>381</v>
      </c>
      <c r="L13" t="s">
        <v>6</v>
      </c>
      <c r="M13" t="s">
        <v>7</v>
      </c>
      <c r="N13" s="22" t="s">
        <v>376</v>
      </c>
    </row>
    <row r="14" spans="1:14" x14ac:dyDescent="0.25">
      <c r="A14" s="67">
        <f t="shared" si="0"/>
        <v>10</v>
      </c>
      <c r="B14" s="68" t="s">
        <v>539</v>
      </c>
      <c r="C14" s="92" t="s">
        <v>562</v>
      </c>
      <c r="D14" s="118" t="s">
        <v>429</v>
      </c>
      <c r="E14" s="119" t="s">
        <v>429</v>
      </c>
      <c r="F14" s="119" t="s">
        <v>429</v>
      </c>
      <c r="G14" s="119" t="s">
        <v>429</v>
      </c>
      <c r="H14" s="138" t="s">
        <v>542</v>
      </c>
      <c r="I14" s="1"/>
      <c r="J14" s="26" t="s">
        <v>514</v>
      </c>
      <c r="K14" t="s">
        <v>381</v>
      </c>
      <c r="L14" t="s">
        <v>6</v>
      </c>
      <c r="M14" s="26" t="s">
        <v>7</v>
      </c>
      <c r="N14" s="45" t="s">
        <v>384</v>
      </c>
    </row>
    <row r="15" spans="1:14" x14ac:dyDescent="0.25">
      <c r="A15" s="67">
        <f t="shared" si="0"/>
        <v>11</v>
      </c>
      <c r="B15" s="68" t="s">
        <v>539</v>
      </c>
      <c r="C15" s="68"/>
      <c r="D15" s="118" t="s">
        <v>429</v>
      </c>
      <c r="E15" s="119" t="s">
        <v>429</v>
      </c>
      <c r="F15" s="119" t="s">
        <v>429</v>
      </c>
      <c r="G15" s="119" t="s">
        <v>429</v>
      </c>
      <c r="H15" s="138" t="s">
        <v>542</v>
      </c>
      <c r="I15" s="1"/>
      <c r="J15" s="26" t="s">
        <v>188</v>
      </c>
      <c r="K15" t="s">
        <v>381</v>
      </c>
      <c r="L15" t="s">
        <v>6</v>
      </c>
      <c r="M15" s="26" t="s">
        <v>7</v>
      </c>
      <c r="N15" s="45" t="s">
        <v>385</v>
      </c>
    </row>
    <row r="16" spans="1:14" x14ac:dyDescent="0.25">
      <c r="A16" s="90"/>
      <c r="B16" s="35"/>
      <c r="C16" s="35"/>
      <c r="D16" s="8"/>
      <c r="E16" s="35"/>
      <c r="F16" s="35"/>
      <c r="G16" s="35"/>
      <c r="H16" s="132"/>
      <c r="I16" s="8" t="s">
        <v>471</v>
      </c>
      <c r="J16" s="35"/>
      <c r="K16" s="35"/>
      <c r="L16" s="35"/>
      <c r="M16" s="35"/>
      <c r="N16" s="42"/>
    </row>
    <row r="17" spans="1:14" x14ac:dyDescent="0.25">
      <c r="A17" s="72">
        <f>A15+1</f>
        <v>12</v>
      </c>
      <c r="B17" s="68" t="s">
        <v>539</v>
      </c>
      <c r="D17" s="118" t="s">
        <v>429</v>
      </c>
      <c r="E17" s="119" t="s">
        <v>429</v>
      </c>
      <c r="F17" s="119" t="s">
        <v>429</v>
      </c>
      <c r="G17" s="119" t="s">
        <v>429</v>
      </c>
      <c r="H17" s="138" t="s">
        <v>542</v>
      </c>
      <c r="I17" s="1"/>
      <c r="J17" s="26" t="s">
        <v>430</v>
      </c>
      <c r="K17" s="27" t="s">
        <v>443</v>
      </c>
      <c r="L17" t="s">
        <v>6</v>
      </c>
      <c r="M17" t="s">
        <v>7</v>
      </c>
      <c r="N17" s="45" t="s">
        <v>447</v>
      </c>
    </row>
    <row r="18" spans="1:14" x14ac:dyDescent="0.25">
      <c r="A18" s="108">
        <f>A17+1</f>
        <v>13</v>
      </c>
      <c r="B18" s="68" t="s">
        <v>539</v>
      </c>
      <c r="C18" s="92" t="s">
        <v>562</v>
      </c>
      <c r="D18" s="112" t="s">
        <v>515</v>
      </c>
      <c r="E18" s="113" t="s">
        <v>493</v>
      </c>
      <c r="F18" s="113" t="s">
        <v>488</v>
      </c>
      <c r="G18" s="26" t="s">
        <v>565</v>
      </c>
      <c r="H18" s="141" t="s">
        <v>538</v>
      </c>
      <c r="I18" s="142"/>
      <c r="J18" s="26" t="s">
        <v>190</v>
      </c>
      <c r="K18" s="15" t="s">
        <v>411</v>
      </c>
      <c r="L18" s="26" t="s">
        <v>544</v>
      </c>
      <c r="M18" s="26" t="s">
        <v>7</v>
      </c>
      <c r="N18" s="43" t="s">
        <v>595</v>
      </c>
    </row>
    <row r="19" spans="1:14" x14ac:dyDescent="0.25">
      <c r="A19" s="72">
        <f>A18+1</f>
        <v>14</v>
      </c>
      <c r="B19" s="68" t="s">
        <v>539</v>
      </c>
      <c r="C19" s="92"/>
      <c r="D19" s="105" t="s">
        <v>515</v>
      </c>
      <c r="E19" s="106" t="s">
        <v>493</v>
      </c>
      <c r="F19" s="113" t="s">
        <v>488</v>
      </c>
      <c r="G19" t="s">
        <v>516</v>
      </c>
      <c r="H19" s="131" t="s">
        <v>538</v>
      </c>
      <c r="I19" s="1"/>
      <c r="J19" t="s">
        <v>16</v>
      </c>
      <c r="K19" t="s">
        <v>381</v>
      </c>
      <c r="L19" t="s">
        <v>6</v>
      </c>
      <c r="M19" t="s">
        <v>7</v>
      </c>
      <c r="N19" s="43" t="s">
        <v>22</v>
      </c>
    </row>
    <row r="20" spans="1:14" x14ac:dyDescent="0.25">
      <c r="A20" s="72">
        <f>A19+1</f>
        <v>15</v>
      </c>
      <c r="B20" s="69"/>
      <c r="C20" s="92"/>
      <c r="D20" s="105" t="s">
        <v>515</v>
      </c>
      <c r="E20" s="106" t="s">
        <v>493</v>
      </c>
      <c r="F20" s="106" t="s">
        <v>488</v>
      </c>
      <c r="G20" t="s">
        <v>543</v>
      </c>
      <c r="H20" s="131" t="s">
        <v>538</v>
      </c>
      <c r="I20" s="1"/>
      <c r="J20" t="s">
        <v>17</v>
      </c>
      <c r="K20" t="s">
        <v>381</v>
      </c>
      <c r="L20" t="s">
        <v>6</v>
      </c>
      <c r="M20" t="s">
        <v>7</v>
      </c>
      <c r="N20" s="43" t="s">
        <v>162</v>
      </c>
    </row>
    <row r="21" spans="1:14" x14ac:dyDescent="0.25">
      <c r="A21" s="72">
        <f>A20+1</f>
        <v>16</v>
      </c>
      <c r="D21" s="105" t="s">
        <v>515</v>
      </c>
      <c r="E21" s="106" t="s">
        <v>487</v>
      </c>
      <c r="F21" s="106" t="s">
        <v>488</v>
      </c>
      <c r="G21" s="26" t="s">
        <v>564</v>
      </c>
      <c r="H21" s="131" t="s">
        <v>538</v>
      </c>
      <c r="I21" s="1"/>
      <c r="J21" t="s">
        <v>394</v>
      </c>
      <c r="K21" t="s">
        <v>381</v>
      </c>
      <c r="L21" t="s">
        <v>6</v>
      </c>
      <c r="M21" t="s">
        <v>7</v>
      </c>
      <c r="N21" s="43" t="s">
        <v>377</v>
      </c>
    </row>
    <row r="22" spans="1:14" x14ac:dyDescent="0.25">
      <c r="A22" s="72">
        <f>A21+1</f>
        <v>17</v>
      </c>
      <c r="D22" s="118" t="s">
        <v>429</v>
      </c>
      <c r="E22" s="119" t="s">
        <v>429</v>
      </c>
      <c r="F22" s="119" t="s">
        <v>429</v>
      </c>
      <c r="G22" s="119" t="s">
        <v>429</v>
      </c>
      <c r="H22" s="138" t="s">
        <v>542</v>
      </c>
      <c r="I22" s="1"/>
      <c r="J22" s="27" t="s">
        <v>340</v>
      </c>
      <c r="K22" s="27" t="s">
        <v>422</v>
      </c>
      <c r="L22" s="27" t="s">
        <v>6</v>
      </c>
      <c r="M22" s="27" t="s">
        <v>193</v>
      </c>
      <c r="N22" s="45" t="s">
        <v>297</v>
      </c>
    </row>
    <row r="23" spans="1:14" x14ac:dyDescent="0.25">
      <c r="A23" s="90"/>
      <c r="B23" s="35"/>
      <c r="C23" s="35"/>
      <c r="D23" s="8"/>
      <c r="E23" s="35"/>
      <c r="F23" s="35"/>
      <c r="G23" s="35"/>
      <c r="H23" s="132"/>
      <c r="I23" s="103" t="s">
        <v>481</v>
      </c>
      <c r="J23" s="35"/>
      <c r="K23" s="35"/>
      <c r="L23" s="35"/>
      <c r="M23" s="35"/>
      <c r="N23" s="42"/>
    </row>
    <row r="24" spans="1:14" ht="16.149999999999999" customHeight="1" x14ac:dyDescent="0.25">
      <c r="A24" s="72">
        <f>A22+1</f>
        <v>18</v>
      </c>
      <c r="B24" s="68" t="s">
        <v>539</v>
      </c>
      <c r="C24" s="68"/>
      <c r="D24" s="118" t="s">
        <v>429</v>
      </c>
      <c r="E24" s="119" t="s">
        <v>429</v>
      </c>
      <c r="F24" s="119" t="s">
        <v>429</v>
      </c>
      <c r="G24" s="119" t="s">
        <v>429</v>
      </c>
      <c r="H24" s="138" t="s">
        <v>542</v>
      </c>
      <c r="I24" s="1"/>
      <c r="J24" s="26" t="s">
        <v>341</v>
      </c>
      <c r="K24" t="s">
        <v>381</v>
      </c>
      <c r="L24" t="s">
        <v>6</v>
      </c>
      <c r="M24" t="s">
        <v>7</v>
      </c>
      <c r="N24" s="46" t="s">
        <v>448</v>
      </c>
    </row>
    <row r="25" spans="1:14" x14ac:dyDescent="0.25">
      <c r="A25" s="72">
        <f>A24+1</f>
        <v>19</v>
      </c>
      <c r="B25" s="68" t="s">
        <v>539</v>
      </c>
      <c r="C25" s="92" t="s">
        <v>562</v>
      </c>
      <c r="D25" s="105" t="s">
        <v>489</v>
      </c>
      <c r="E25" s="106" t="s">
        <v>487</v>
      </c>
      <c r="F25" s="106" t="s">
        <v>490</v>
      </c>
      <c r="G25" s="26" t="s">
        <v>403</v>
      </c>
      <c r="H25" s="133" t="s">
        <v>540</v>
      </c>
      <c r="I25" s="1"/>
      <c r="J25" t="s">
        <v>404</v>
      </c>
      <c r="K25" t="s">
        <v>381</v>
      </c>
      <c r="L25" t="s">
        <v>6</v>
      </c>
      <c r="M25" t="s">
        <v>7</v>
      </c>
      <c r="N25" s="43" t="s">
        <v>22</v>
      </c>
    </row>
    <row r="26" spans="1:14" x14ac:dyDescent="0.25">
      <c r="A26" s="72">
        <f t="shared" ref="A26:A28" si="1">A25+1</f>
        <v>20</v>
      </c>
      <c r="C26" s="92" t="s">
        <v>562</v>
      </c>
      <c r="D26" s="105" t="s">
        <v>489</v>
      </c>
      <c r="E26" s="106" t="s">
        <v>487</v>
      </c>
      <c r="F26" s="106" t="s">
        <v>490</v>
      </c>
      <c r="G26" s="26" t="s">
        <v>546</v>
      </c>
      <c r="H26" s="131" t="s">
        <v>538</v>
      </c>
      <c r="I26" s="1"/>
      <c r="J26" t="s">
        <v>217</v>
      </c>
      <c r="K26" s="14" t="s">
        <v>411</v>
      </c>
      <c r="L26" t="s">
        <v>6</v>
      </c>
      <c r="M26" t="s">
        <v>7</v>
      </c>
      <c r="N26" s="43" t="s">
        <v>22</v>
      </c>
    </row>
    <row r="27" spans="1:14" x14ac:dyDescent="0.25">
      <c r="A27" s="72">
        <f t="shared" si="1"/>
        <v>21</v>
      </c>
      <c r="C27" s="92" t="s">
        <v>562</v>
      </c>
      <c r="D27" s="105" t="s">
        <v>515</v>
      </c>
      <c r="E27" s="106" t="s">
        <v>493</v>
      </c>
      <c r="F27" s="106" t="s">
        <v>488</v>
      </c>
      <c r="G27" t="s">
        <v>460</v>
      </c>
      <c r="H27" s="131" t="s">
        <v>538</v>
      </c>
      <c r="I27" s="1"/>
      <c r="J27" t="s">
        <v>458</v>
      </c>
      <c r="K27" s="14" t="s">
        <v>411</v>
      </c>
      <c r="L27" t="s">
        <v>413</v>
      </c>
      <c r="M27" t="s">
        <v>7</v>
      </c>
      <c r="N27" s="45"/>
    </row>
    <row r="28" spans="1:14" x14ac:dyDescent="0.25">
      <c r="A28" s="72">
        <f t="shared" si="1"/>
        <v>22</v>
      </c>
      <c r="C28" s="92" t="s">
        <v>562</v>
      </c>
      <c r="D28" s="105" t="s">
        <v>515</v>
      </c>
      <c r="E28" s="106" t="s">
        <v>487</v>
      </c>
      <c r="F28" s="106" t="s">
        <v>488</v>
      </c>
      <c r="G28" t="s">
        <v>461</v>
      </c>
      <c r="H28" s="131" t="s">
        <v>538</v>
      </c>
      <c r="I28" s="1"/>
      <c r="J28" t="s">
        <v>459</v>
      </c>
      <c r="K28" s="14" t="s">
        <v>411</v>
      </c>
      <c r="L28" t="s">
        <v>462</v>
      </c>
      <c r="M28" t="s">
        <v>7</v>
      </c>
      <c r="N28" s="63" t="s">
        <v>596</v>
      </c>
    </row>
    <row r="29" spans="1:14" x14ac:dyDescent="0.25">
      <c r="A29" s="67">
        <f t="shared" ref="A29:A42" si="2">A28+1</f>
        <v>23</v>
      </c>
      <c r="D29" s="105" t="s">
        <v>486</v>
      </c>
      <c r="E29" s="117" t="s">
        <v>487</v>
      </c>
      <c r="F29" s="123" t="s">
        <v>488</v>
      </c>
      <c r="G29" t="s">
        <v>517</v>
      </c>
      <c r="H29" s="131" t="s">
        <v>538</v>
      </c>
      <c r="I29" s="1"/>
      <c r="J29" t="s">
        <v>29</v>
      </c>
      <c r="K29" t="s">
        <v>381</v>
      </c>
      <c r="L29" t="s">
        <v>348</v>
      </c>
      <c r="M29" t="s">
        <v>7</v>
      </c>
      <c r="N29" s="43"/>
    </row>
    <row r="30" spans="1:14" x14ac:dyDescent="0.25">
      <c r="A30" s="67">
        <f t="shared" si="2"/>
        <v>24</v>
      </c>
      <c r="D30" s="118" t="s">
        <v>429</v>
      </c>
      <c r="E30" s="119" t="s">
        <v>429</v>
      </c>
      <c r="F30" s="119" t="s">
        <v>429</v>
      </c>
      <c r="G30" s="119" t="s">
        <v>429</v>
      </c>
      <c r="H30" s="138" t="s">
        <v>542</v>
      </c>
      <c r="I30" s="59"/>
      <c r="J30" s="60" t="s">
        <v>386</v>
      </c>
      <c r="K30" s="60" t="s">
        <v>381</v>
      </c>
      <c r="L30" s="61" t="s">
        <v>303</v>
      </c>
      <c r="M30" s="61" t="s">
        <v>298</v>
      </c>
      <c r="N30" s="43"/>
    </row>
    <row r="31" spans="1:14" x14ac:dyDescent="0.25">
      <c r="A31" s="67">
        <f t="shared" si="2"/>
        <v>25</v>
      </c>
      <c r="D31" s="118" t="s">
        <v>429</v>
      </c>
      <c r="E31" s="119" t="s">
        <v>429</v>
      </c>
      <c r="F31" s="119" t="s">
        <v>429</v>
      </c>
      <c r="G31" s="119" t="s">
        <v>429</v>
      </c>
      <c r="H31" s="138" t="s">
        <v>542</v>
      </c>
      <c r="I31" s="59"/>
      <c r="J31" s="60" t="s">
        <v>313</v>
      </c>
      <c r="K31" s="60" t="s">
        <v>381</v>
      </c>
      <c r="L31" s="61" t="s">
        <v>304</v>
      </c>
      <c r="M31" s="61" t="s">
        <v>223</v>
      </c>
      <c r="N31" s="43"/>
    </row>
    <row r="32" spans="1:14" x14ac:dyDescent="0.25">
      <c r="A32" s="67">
        <f t="shared" si="2"/>
        <v>26</v>
      </c>
      <c r="D32" s="118" t="s">
        <v>429</v>
      </c>
      <c r="E32" s="119" t="s">
        <v>429</v>
      </c>
      <c r="F32" s="119" t="s">
        <v>429</v>
      </c>
      <c r="G32" s="119" t="s">
        <v>429</v>
      </c>
      <c r="H32" s="138" t="s">
        <v>542</v>
      </c>
      <c r="I32" s="59"/>
      <c r="J32" s="60" t="s">
        <v>293</v>
      </c>
      <c r="K32" s="60" t="s">
        <v>381</v>
      </c>
      <c r="L32" s="61" t="s">
        <v>6</v>
      </c>
      <c r="M32" s="61" t="s">
        <v>223</v>
      </c>
      <c r="N32" s="43"/>
    </row>
    <row r="33" spans="1:14" x14ac:dyDescent="0.25">
      <c r="A33" s="67">
        <f t="shared" si="2"/>
        <v>27</v>
      </c>
      <c r="D33" s="111" t="s">
        <v>510</v>
      </c>
      <c r="E33" s="106" t="s">
        <v>495</v>
      </c>
      <c r="F33" s="117" t="str">
        <f t="shared" ref="F33" si="3">_xlfn.LET(
_xlpm.A,6-VALUE(RIGHT(TRIM(CLEAN(D33)),1)),
_xlpm.E,6-VALUE(RIGHT(TRIM(CLEAN(E33)),1)),
IF(AND(_xlpm.A&gt;=4,_xlpm.E&gt;=4),"S1",
IF(OR(AND(_xlpm.A=3,_xlpm.E&gt;=3),AND(_xlpm.A&gt;=4,_xlpm.E=3)),"S2",
IF(AND(_xlpm.A=2,_xlpm.E&gt;=3),"S3",
"S4"))))</f>
        <v>S2</v>
      </c>
      <c r="G33" t="s">
        <v>580</v>
      </c>
      <c r="H33" s="131" t="s">
        <v>538</v>
      </c>
      <c r="I33" s="59"/>
      <c r="J33" s="62" t="s">
        <v>44</v>
      </c>
      <c r="K33" s="62" t="s">
        <v>381</v>
      </c>
      <c r="L33" s="61" t="s">
        <v>6</v>
      </c>
      <c r="M33" s="61" t="s">
        <v>295</v>
      </c>
      <c r="N33" s="43"/>
    </row>
    <row r="34" spans="1:14" x14ac:dyDescent="0.25">
      <c r="A34" s="67">
        <f t="shared" si="2"/>
        <v>28</v>
      </c>
      <c r="C34" s="92" t="s">
        <v>562</v>
      </c>
      <c r="D34" s="111" t="s">
        <v>510</v>
      </c>
      <c r="E34" s="106" t="s">
        <v>495</v>
      </c>
      <c r="F34" s="117" t="str">
        <f t="shared" ref="F34" si="4">_xlfn.LET(
_xlpm.A,6-VALUE(RIGHT(TRIM(CLEAN(D34)),1)),
_xlpm.E,6-VALUE(RIGHT(TRIM(CLEAN(E34)),1)),
IF(AND(_xlpm.A&gt;=4,_xlpm.E&gt;=4),"S1",
IF(OR(AND(_xlpm.A=3,_xlpm.E&gt;=3),AND(_xlpm.A&gt;=4,_xlpm.E=3)),"S2",
IF(AND(_xlpm.A=2,_xlpm.E&gt;=3),"S3",
"S4"))))</f>
        <v>S2</v>
      </c>
      <c r="G34" t="s">
        <v>579</v>
      </c>
      <c r="H34" s="131" t="s">
        <v>538</v>
      </c>
      <c r="I34" s="59"/>
      <c r="J34" s="62" t="s">
        <v>43</v>
      </c>
      <c r="K34" s="62" t="s">
        <v>381</v>
      </c>
      <c r="L34" s="61" t="s">
        <v>6</v>
      </c>
      <c r="M34" s="61" t="s">
        <v>295</v>
      </c>
      <c r="N34" s="43"/>
    </row>
    <row r="35" spans="1:14" x14ac:dyDescent="0.25">
      <c r="A35" s="67">
        <f t="shared" si="2"/>
        <v>29</v>
      </c>
      <c r="C35" s="92" t="s">
        <v>562</v>
      </c>
      <c r="D35" s="118" t="s">
        <v>429</v>
      </c>
      <c r="E35" s="119" t="s">
        <v>429</v>
      </c>
      <c r="F35" s="119" t="s">
        <v>429</v>
      </c>
      <c r="G35" s="119" t="s">
        <v>429</v>
      </c>
      <c r="H35" s="138" t="s">
        <v>542</v>
      </c>
      <c r="I35" s="59"/>
      <c r="J35" s="62" t="s">
        <v>292</v>
      </c>
      <c r="K35" s="62" t="s">
        <v>381</v>
      </c>
      <c r="L35" s="61" t="s">
        <v>78</v>
      </c>
      <c r="M35" s="61" t="s">
        <v>217</v>
      </c>
      <c r="N35" s="43"/>
    </row>
    <row r="36" spans="1:14" x14ac:dyDescent="0.25">
      <c r="A36" s="67">
        <f t="shared" si="2"/>
        <v>30</v>
      </c>
      <c r="D36" s="111" t="s">
        <v>510</v>
      </c>
      <c r="E36" s="106" t="s">
        <v>495</v>
      </c>
      <c r="F36" s="117" t="str">
        <f t="shared" ref="F36:F37" si="5">_xlfn.LET(
_xlpm.A,6-VALUE(RIGHT(TRIM(CLEAN(D36)),1)),
_xlpm.E,6-VALUE(RIGHT(TRIM(CLEAN(E36)),1)),
IF(AND(_xlpm.A&gt;=4,_xlpm.E&gt;=4),"S1",
IF(OR(AND(_xlpm.A=3,_xlpm.E&gt;=3),AND(_xlpm.A&gt;=4,_xlpm.E=3)),"S2",
IF(AND(_xlpm.A=2,_xlpm.E&gt;=3),"S3",
"S4"))))</f>
        <v>S2</v>
      </c>
      <c r="G36" t="s">
        <v>579</v>
      </c>
      <c r="H36" s="131" t="s">
        <v>538</v>
      </c>
      <c r="I36" s="59"/>
      <c r="J36" s="62" t="s">
        <v>39</v>
      </c>
      <c r="K36" s="62" t="s">
        <v>381</v>
      </c>
      <c r="L36" s="61" t="s">
        <v>40</v>
      </c>
      <c r="M36" s="61" t="s">
        <v>290</v>
      </c>
      <c r="N36" s="43"/>
    </row>
    <row r="37" spans="1:14" x14ac:dyDescent="0.25">
      <c r="A37" s="67">
        <f t="shared" si="2"/>
        <v>31</v>
      </c>
      <c r="D37" s="111" t="s">
        <v>510</v>
      </c>
      <c r="E37" s="106" t="s">
        <v>495</v>
      </c>
      <c r="F37" s="117" t="str">
        <f t="shared" si="5"/>
        <v>S2</v>
      </c>
      <c r="G37" t="s">
        <v>581</v>
      </c>
      <c r="H37" s="131" t="s">
        <v>538</v>
      </c>
      <c r="I37" s="59"/>
      <c r="J37" s="62" t="s">
        <v>291</v>
      </c>
      <c r="K37" s="62" t="s">
        <v>381</v>
      </c>
      <c r="L37" s="61" t="s">
        <v>40</v>
      </c>
      <c r="M37" s="61" t="s">
        <v>290</v>
      </c>
      <c r="N37" s="43"/>
    </row>
    <row r="38" spans="1:14" x14ac:dyDescent="0.25">
      <c r="A38" s="67">
        <f t="shared" si="2"/>
        <v>32</v>
      </c>
      <c r="D38" s="111" t="s">
        <v>510</v>
      </c>
      <c r="E38" s="106" t="s">
        <v>495</v>
      </c>
      <c r="F38" s="117" t="str">
        <f t="shared" ref="F38" si="6">_xlfn.LET(
_xlpm.A,6-VALUE(RIGHT(TRIM(CLEAN(D38)),1)),
_xlpm.E,6-VALUE(RIGHT(TRIM(CLEAN(E38)),1)),
IF(AND(_xlpm.A&gt;=4,_xlpm.E&gt;=4),"S1",
IF(OR(AND(_xlpm.A=3,_xlpm.E&gt;=3),AND(_xlpm.A&gt;=4,_xlpm.E=3)),"S2",
IF(AND(_xlpm.A=2,_xlpm.E&gt;=3),"S3",
"S4"))))</f>
        <v>S2</v>
      </c>
      <c r="G38" t="s">
        <v>579</v>
      </c>
      <c r="H38" s="131" t="s">
        <v>538</v>
      </c>
      <c r="I38" s="59"/>
      <c r="J38" s="60" t="s">
        <v>62</v>
      </c>
      <c r="K38" s="60" t="s">
        <v>381</v>
      </c>
      <c r="L38" s="61" t="s">
        <v>6</v>
      </c>
      <c r="M38" s="61" t="s">
        <v>222</v>
      </c>
      <c r="N38" s="43"/>
    </row>
    <row r="39" spans="1:14" x14ac:dyDescent="0.25">
      <c r="A39" s="67">
        <f t="shared" si="2"/>
        <v>33</v>
      </c>
      <c r="D39" s="118" t="s">
        <v>429</v>
      </c>
      <c r="E39" s="119" t="s">
        <v>429</v>
      </c>
      <c r="F39" s="119" t="s">
        <v>429</v>
      </c>
      <c r="G39" s="119" t="s">
        <v>429</v>
      </c>
      <c r="H39" s="138" t="s">
        <v>542</v>
      </c>
      <c r="I39" s="59"/>
      <c r="J39" s="60" t="s">
        <v>257</v>
      </c>
      <c r="K39" s="60" t="s">
        <v>381</v>
      </c>
      <c r="L39" s="61" t="s">
        <v>6</v>
      </c>
      <c r="M39" s="61" t="s">
        <v>7</v>
      </c>
      <c r="N39" s="43"/>
    </row>
    <row r="40" spans="1:14" x14ac:dyDescent="0.25">
      <c r="A40" s="67">
        <f t="shared" si="2"/>
        <v>34</v>
      </c>
      <c r="D40" s="118" t="s">
        <v>429</v>
      </c>
      <c r="E40" s="119" t="s">
        <v>429</v>
      </c>
      <c r="F40" s="119" t="s">
        <v>429</v>
      </c>
      <c r="G40" s="119" t="s">
        <v>429</v>
      </c>
      <c r="H40" s="138" t="s">
        <v>542</v>
      </c>
      <c r="I40" s="59"/>
      <c r="J40" s="60" t="s">
        <v>299</v>
      </c>
      <c r="K40" s="60" t="s">
        <v>381</v>
      </c>
      <c r="L40" s="61" t="s">
        <v>6</v>
      </c>
      <c r="M40" s="61" t="s">
        <v>222</v>
      </c>
      <c r="N40" s="43"/>
    </row>
    <row r="41" spans="1:14" x14ac:dyDescent="0.25">
      <c r="A41" s="67">
        <f t="shared" si="2"/>
        <v>35</v>
      </c>
      <c r="D41" s="118" t="s">
        <v>429</v>
      </c>
      <c r="E41" s="119" t="s">
        <v>429</v>
      </c>
      <c r="F41" s="119" t="s">
        <v>429</v>
      </c>
      <c r="G41" s="119" t="s">
        <v>429</v>
      </c>
      <c r="H41" s="138" t="s">
        <v>542</v>
      </c>
      <c r="I41" s="59"/>
      <c r="J41" s="60" t="s">
        <v>300</v>
      </c>
      <c r="K41" s="60" t="s">
        <v>381</v>
      </c>
      <c r="L41" s="61" t="s">
        <v>301</v>
      </c>
      <c r="M41" s="61" t="s">
        <v>302</v>
      </c>
      <c r="N41" s="43"/>
    </row>
    <row r="42" spans="1:14" x14ac:dyDescent="0.25">
      <c r="A42" s="67">
        <f t="shared" si="2"/>
        <v>36</v>
      </c>
      <c r="C42" s="68"/>
      <c r="D42" s="118" t="s">
        <v>429</v>
      </c>
      <c r="E42" s="119" t="s">
        <v>429</v>
      </c>
      <c r="F42" s="119" t="s">
        <v>429</v>
      </c>
      <c r="G42" s="119" t="s">
        <v>429</v>
      </c>
      <c r="H42" s="138" t="s">
        <v>542</v>
      </c>
      <c r="I42" s="59"/>
      <c r="J42" s="60" t="s">
        <v>307</v>
      </c>
      <c r="K42" s="60" t="s">
        <v>381</v>
      </c>
      <c r="L42" s="61" t="s">
        <v>6</v>
      </c>
      <c r="M42" s="61" t="s">
        <v>217</v>
      </c>
      <c r="N42" s="43"/>
    </row>
    <row r="43" spans="1:14" x14ac:dyDescent="0.25">
      <c r="A43" s="93"/>
      <c r="B43" s="35"/>
      <c r="C43" s="35"/>
      <c r="D43" s="8"/>
      <c r="E43" s="35"/>
      <c r="F43" s="35"/>
      <c r="G43" s="35"/>
      <c r="H43" s="132"/>
      <c r="I43" s="8" t="s">
        <v>472</v>
      </c>
      <c r="J43" s="35"/>
      <c r="K43" s="35"/>
      <c r="L43" s="35"/>
      <c r="M43" s="35"/>
      <c r="N43" s="42"/>
    </row>
    <row r="44" spans="1:14" x14ac:dyDescent="0.25">
      <c r="A44" s="67">
        <f>A42+1</f>
        <v>37</v>
      </c>
      <c r="C44" s="69"/>
      <c r="D44" s="139" t="s">
        <v>515</v>
      </c>
      <c r="E44" s="113" t="s">
        <v>487</v>
      </c>
      <c r="F44" s="113" t="s">
        <v>488</v>
      </c>
      <c r="G44" s="26" t="s">
        <v>578</v>
      </c>
      <c r="H44" s="133" t="s">
        <v>540</v>
      </c>
      <c r="I44" s="1"/>
      <c r="J44" s="15" t="s">
        <v>577</v>
      </c>
      <c r="K44" s="14" t="s">
        <v>382</v>
      </c>
      <c r="L44" t="s">
        <v>6</v>
      </c>
      <c r="M44" t="s">
        <v>7</v>
      </c>
      <c r="N44" s="43"/>
    </row>
    <row r="45" spans="1:14" x14ac:dyDescent="0.25">
      <c r="A45" s="67">
        <f>A44+1</f>
        <v>38</v>
      </c>
      <c r="B45" s="68" t="s">
        <v>539</v>
      </c>
      <c r="D45" s="118" t="s">
        <v>429</v>
      </c>
      <c r="E45" s="119" t="s">
        <v>429</v>
      </c>
      <c r="F45" s="119" t="s">
        <v>429</v>
      </c>
      <c r="G45" s="119" t="s">
        <v>429</v>
      </c>
      <c r="H45" s="138" t="s">
        <v>542</v>
      </c>
      <c r="I45" s="1"/>
      <c r="J45" s="14" t="s">
        <v>81</v>
      </c>
      <c r="K45" t="s">
        <v>381</v>
      </c>
      <c r="L45" t="s">
        <v>6</v>
      </c>
      <c r="M45" t="s">
        <v>7</v>
      </c>
      <c r="N45" s="43" t="s">
        <v>134</v>
      </c>
    </row>
    <row r="46" spans="1:14" x14ac:dyDescent="0.25">
      <c r="A46" s="67">
        <f t="shared" ref="A46:A51" si="7">A45+1</f>
        <v>39</v>
      </c>
      <c r="B46" s="68" t="s">
        <v>539</v>
      </c>
      <c r="D46" s="118" t="s">
        <v>429</v>
      </c>
      <c r="E46" s="119" t="s">
        <v>429</v>
      </c>
      <c r="F46" s="119" t="s">
        <v>429</v>
      </c>
      <c r="G46" s="119" t="s">
        <v>429</v>
      </c>
      <c r="H46" s="138" t="s">
        <v>542</v>
      </c>
      <c r="I46" s="1"/>
      <c r="J46" s="14" t="s">
        <v>536</v>
      </c>
      <c r="K46" t="s">
        <v>420</v>
      </c>
      <c r="L46" t="s">
        <v>6</v>
      </c>
      <c r="M46" t="s">
        <v>7</v>
      </c>
      <c r="N46" s="43" t="s">
        <v>169</v>
      </c>
    </row>
    <row r="47" spans="1:14" x14ac:dyDescent="0.25">
      <c r="A47" s="67">
        <f t="shared" si="7"/>
        <v>40</v>
      </c>
      <c r="B47" s="68" t="s">
        <v>539</v>
      </c>
      <c r="D47" s="118" t="s">
        <v>429</v>
      </c>
      <c r="E47" s="119" t="s">
        <v>429</v>
      </c>
      <c r="F47" s="119" t="s">
        <v>429</v>
      </c>
      <c r="G47" s="119" t="s">
        <v>429</v>
      </c>
      <c r="H47" s="138" t="s">
        <v>542</v>
      </c>
      <c r="I47" s="1"/>
      <c r="J47" s="14" t="s">
        <v>234</v>
      </c>
      <c r="K47" t="s">
        <v>381</v>
      </c>
      <c r="L47" t="s">
        <v>6</v>
      </c>
      <c r="M47" t="s">
        <v>7</v>
      </c>
      <c r="N47" s="43" t="s">
        <v>377</v>
      </c>
    </row>
    <row r="48" spans="1:14" x14ac:dyDescent="0.25">
      <c r="A48" s="67">
        <f t="shared" si="7"/>
        <v>41</v>
      </c>
      <c r="D48" s="118" t="s">
        <v>429</v>
      </c>
      <c r="E48" s="119" t="s">
        <v>429</v>
      </c>
      <c r="F48" s="119" t="s">
        <v>429</v>
      </c>
      <c r="G48" s="119" t="s">
        <v>429</v>
      </c>
      <c r="H48" s="138" t="s">
        <v>542</v>
      </c>
      <c r="I48" s="1"/>
      <c r="J48" s="15" t="s">
        <v>233</v>
      </c>
      <c r="K48" t="s">
        <v>381</v>
      </c>
      <c r="L48" t="s">
        <v>6</v>
      </c>
      <c r="M48" t="s">
        <v>7</v>
      </c>
      <c r="N48" s="43"/>
    </row>
    <row r="49" spans="1:14" x14ac:dyDescent="0.25">
      <c r="A49" s="67">
        <f t="shared" si="7"/>
        <v>42</v>
      </c>
      <c r="D49" s="139" t="s">
        <v>515</v>
      </c>
      <c r="E49" s="113" t="s">
        <v>487</v>
      </c>
      <c r="F49" s="113" t="s">
        <v>488</v>
      </c>
      <c r="G49" s="26" t="s">
        <v>535</v>
      </c>
      <c r="H49" s="133" t="s">
        <v>540</v>
      </c>
      <c r="I49" s="1"/>
      <c r="J49" s="15" t="s">
        <v>285</v>
      </c>
      <c r="K49" t="s">
        <v>420</v>
      </c>
      <c r="L49" t="s">
        <v>6</v>
      </c>
      <c r="M49" t="s">
        <v>7</v>
      </c>
      <c r="N49" s="43" t="s">
        <v>169</v>
      </c>
    </row>
    <row r="50" spans="1:14" x14ac:dyDescent="0.25">
      <c r="A50" s="67">
        <f t="shared" si="7"/>
        <v>43</v>
      </c>
      <c r="D50" s="118" t="s">
        <v>429</v>
      </c>
      <c r="E50" s="119" t="s">
        <v>429</v>
      </c>
      <c r="F50" s="119" t="s">
        <v>429</v>
      </c>
      <c r="G50" s="119" t="s">
        <v>429</v>
      </c>
      <c r="H50" s="138" t="s">
        <v>542</v>
      </c>
      <c r="I50" s="1"/>
      <c r="J50" s="14" t="s">
        <v>84</v>
      </c>
      <c r="K50" t="s">
        <v>420</v>
      </c>
      <c r="L50" t="s">
        <v>6</v>
      </c>
      <c r="M50" t="s">
        <v>7</v>
      </c>
      <c r="N50" s="43" t="s">
        <v>169</v>
      </c>
    </row>
    <row r="51" spans="1:14" x14ac:dyDescent="0.25">
      <c r="A51" s="67">
        <f t="shared" si="7"/>
        <v>44</v>
      </c>
      <c r="D51" s="118" t="s">
        <v>429</v>
      </c>
      <c r="E51" s="119" t="s">
        <v>429</v>
      </c>
      <c r="F51" s="119" t="s">
        <v>429</v>
      </c>
      <c r="G51" s="119" t="s">
        <v>429</v>
      </c>
      <c r="H51" s="138" t="s">
        <v>542</v>
      </c>
      <c r="I51" s="1"/>
      <c r="J51" s="14" t="s">
        <v>378</v>
      </c>
      <c r="K51" t="s">
        <v>381</v>
      </c>
      <c r="L51" t="s">
        <v>6</v>
      </c>
      <c r="M51" t="s">
        <v>7</v>
      </c>
      <c r="N51" s="43" t="s">
        <v>377</v>
      </c>
    </row>
    <row r="52" spans="1:14" x14ac:dyDescent="0.25">
      <c r="A52" s="93"/>
      <c r="B52" s="35"/>
      <c r="C52" s="35"/>
      <c r="D52" s="8"/>
      <c r="E52" s="35"/>
      <c r="F52" s="35"/>
      <c r="G52" s="35"/>
      <c r="H52" s="132"/>
      <c r="I52" s="8" t="s">
        <v>473</v>
      </c>
      <c r="J52" s="35"/>
      <c r="K52" s="35"/>
      <c r="L52" s="35"/>
      <c r="M52" s="35"/>
      <c r="N52" s="42"/>
    </row>
    <row r="53" spans="1:14" x14ac:dyDescent="0.25">
      <c r="A53" s="67">
        <f>A51+1</f>
        <v>45</v>
      </c>
      <c r="D53" s="105" t="s">
        <v>489</v>
      </c>
      <c r="E53" s="106" t="s">
        <v>495</v>
      </c>
      <c r="F53" s="106" t="s">
        <v>490</v>
      </c>
      <c r="G53" s="144" t="s">
        <v>545</v>
      </c>
      <c r="H53" s="133" t="s">
        <v>540</v>
      </c>
      <c r="I53" s="1"/>
      <c r="J53" s="15" t="s">
        <v>463</v>
      </c>
      <c r="K53" t="s">
        <v>420</v>
      </c>
      <c r="L53" t="s">
        <v>6</v>
      </c>
      <c r="M53" t="s">
        <v>7</v>
      </c>
      <c r="N53" s="43"/>
    </row>
    <row r="54" spans="1:14" x14ac:dyDescent="0.25">
      <c r="A54" s="67">
        <f>A53+1</f>
        <v>46</v>
      </c>
      <c r="D54" s="118" t="s">
        <v>429</v>
      </c>
      <c r="E54" s="119" t="s">
        <v>429</v>
      </c>
      <c r="F54" s="119" t="s">
        <v>429</v>
      </c>
      <c r="G54" s="119" t="s">
        <v>429</v>
      </c>
      <c r="H54" s="138" t="s">
        <v>542</v>
      </c>
      <c r="I54" s="1"/>
      <c r="J54" s="15" t="s">
        <v>464</v>
      </c>
      <c r="K54" t="s">
        <v>420</v>
      </c>
      <c r="L54" t="s">
        <v>6</v>
      </c>
      <c r="M54" t="s">
        <v>7</v>
      </c>
      <c r="N54" s="43" t="s">
        <v>169</v>
      </c>
    </row>
    <row r="55" spans="1:14" x14ac:dyDescent="0.25">
      <c r="A55" s="67">
        <f t="shared" ref="A55:A59" si="8">A54+1</f>
        <v>47</v>
      </c>
      <c r="D55" s="111" t="s">
        <v>510</v>
      </c>
      <c r="E55" s="106" t="s">
        <v>495</v>
      </c>
      <c r="F55" s="117" t="str">
        <f t="shared" ref="F55" si="9">_xlfn.LET(
_xlpm.A,6-VALUE(RIGHT(TRIM(CLEAN(D55)),1)),
_xlpm.E,6-VALUE(RIGHT(TRIM(CLEAN(E55)),1)),
IF(AND(_xlpm.A&gt;=4,_xlpm.E&gt;=4),"S1",
IF(OR(AND(_xlpm.A=3,_xlpm.E&gt;=3),AND(_xlpm.A&gt;=4,_xlpm.E=3)),"S2",
IF(AND(_xlpm.A=2,_xlpm.E&gt;=3),"S3",
"S4"))))</f>
        <v>S2</v>
      </c>
      <c r="G55" s="26" t="s">
        <v>574</v>
      </c>
      <c r="H55" s="133" t="s">
        <v>540</v>
      </c>
      <c r="I55" s="1"/>
      <c r="J55" s="15" t="s">
        <v>465</v>
      </c>
      <c r="K55" t="s">
        <v>420</v>
      </c>
      <c r="L55" t="s">
        <v>6</v>
      </c>
      <c r="M55" t="s">
        <v>7</v>
      </c>
      <c r="N55" s="43"/>
    </row>
    <row r="56" spans="1:14" x14ac:dyDescent="0.25">
      <c r="A56" s="67">
        <f t="shared" si="8"/>
        <v>48</v>
      </c>
      <c r="D56" s="105" t="s">
        <v>486</v>
      </c>
      <c r="E56" s="117" t="s">
        <v>487</v>
      </c>
      <c r="F56" s="117" t="s">
        <v>488</v>
      </c>
      <c r="G56" s="140" t="s">
        <v>426</v>
      </c>
      <c r="H56" s="133" t="s">
        <v>540</v>
      </c>
      <c r="I56" s="1"/>
      <c r="J56" s="14" t="s">
        <v>466</v>
      </c>
      <c r="K56" t="s">
        <v>420</v>
      </c>
      <c r="L56" t="s">
        <v>6</v>
      </c>
      <c r="M56" t="s">
        <v>7</v>
      </c>
      <c r="N56" s="43"/>
    </row>
    <row r="57" spans="1:14" x14ac:dyDescent="0.25">
      <c r="A57" s="67">
        <f t="shared" si="8"/>
        <v>49</v>
      </c>
      <c r="D57" s="112" t="s">
        <v>489</v>
      </c>
      <c r="E57" s="113" t="s">
        <v>495</v>
      </c>
      <c r="F57" s="113" t="s">
        <v>490</v>
      </c>
      <c r="G57" s="26" t="s">
        <v>427</v>
      </c>
      <c r="H57" s="133" t="s">
        <v>540</v>
      </c>
      <c r="I57" s="1"/>
      <c r="J57" s="14" t="s">
        <v>391</v>
      </c>
      <c r="K57" t="s">
        <v>420</v>
      </c>
      <c r="L57" t="s">
        <v>6</v>
      </c>
      <c r="M57" t="s">
        <v>7</v>
      </c>
      <c r="N57" s="43"/>
    </row>
    <row r="58" spans="1:14" ht="15" customHeight="1" x14ac:dyDescent="0.25">
      <c r="A58" s="67">
        <f t="shared" si="8"/>
        <v>50</v>
      </c>
      <c r="D58" s="112" t="s">
        <v>489</v>
      </c>
      <c r="E58" s="113" t="s">
        <v>495</v>
      </c>
      <c r="F58" s="113" t="s">
        <v>490</v>
      </c>
      <c r="G58" s="26" t="s">
        <v>568</v>
      </c>
      <c r="H58" s="133" t="s">
        <v>540</v>
      </c>
      <c r="I58" s="1"/>
      <c r="J58" s="15" t="s">
        <v>566</v>
      </c>
      <c r="K58" t="s">
        <v>420</v>
      </c>
      <c r="L58" t="s">
        <v>6</v>
      </c>
      <c r="M58" t="s">
        <v>7</v>
      </c>
      <c r="N58" s="45"/>
    </row>
    <row r="59" spans="1:14" x14ac:dyDescent="0.25">
      <c r="A59" s="67">
        <f t="shared" si="8"/>
        <v>51</v>
      </c>
      <c r="D59" s="112" t="s">
        <v>489</v>
      </c>
      <c r="E59" s="113" t="s">
        <v>495</v>
      </c>
      <c r="F59" s="113" t="s">
        <v>490</v>
      </c>
      <c r="G59" t="s">
        <v>567</v>
      </c>
      <c r="H59" s="133" t="s">
        <v>540</v>
      </c>
      <c r="I59" s="1"/>
      <c r="J59" s="14" t="s">
        <v>467</v>
      </c>
      <c r="K59" t="s">
        <v>420</v>
      </c>
      <c r="L59" t="s">
        <v>6</v>
      </c>
      <c r="M59" t="s">
        <v>7</v>
      </c>
      <c r="N59" s="43"/>
    </row>
    <row r="60" spans="1:14" x14ac:dyDescent="0.25">
      <c r="A60" s="67">
        <f t="shared" ref="A60:A61" si="10">A59+1</f>
        <v>52</v>
      </c>
      <c r="D60" s="112" t="s">
        <v>489</v>
      </c>
      <c r="E60" s="113" t="s">
        <v>495</v>
      </c>
      <c r="F60" s="113" t="s">
        <v>490</v>
      </c>
      <c r="G60" t="s">
        <v>553</v>
      </c>
      <c r="H60" s="133" t="s">
        <v>540</v>
      </c>
      <c r="I60" s="1"/>
      <c r="J60" s="14" t="s">
        <v>468</v>
      </c>
      <c r="K60" t="s">
        <v>420</v>
      </c>
      <c r="L60" t="s">
        <v>6</v>
      </c>
      <c r="M60" t="s">
        <v>392</v>
      </c>
      <c r="N60" s="43"/>
    </row>
    <row r="61" spans="1:14" x14ac:dyDescent="0.25">
      <c r="A61" s="67">
        <f t="shared" si="10"/>
        <v>53</v>
      </c>
      <c r="D61" s="105" t="s">
        <v>486</v>
      </c>
      <c r="E61" s="106" t="s">
        <v>487</v>
      </c>
      <c r="F61" s="106" t="s">
        <v>488</v>
      </c>
      <c r="G61" t="s">
        <v>400</v>
      </c>
      <c r="H61" s="131" t="s">
        <v>538</v>
      </c>
      <c r="I61" s="1"/>
      <c r="J61" s="15" t="s">
        <v>91</v>
      </c>
      <c r="K61" t="s">
        <v>381</v>
      </c>
      <c r="L61" t="s">
        <v>6</v>
      </c>
      <c r="M61" t="s">
        <v>7</v>
      </c>
      <c r="N61" s="43" t="s">
        <v>169</v>
      </c>
    </row>
    <row r="62" spans="1:14" x14ac:dyDescent="0.25">
      <c r="A62" s="93"/>
      <c r="B62" s="35"/>
      <c r="C62" s="35"/>
      <c r="D62" s="8"/>
      <c r="E62" s="35"/>
      <c r="F62" s="35"/>
      <c r="G62" s="35"/>
      <c r="H62" s="132"/>
      <c r="I62" s="8" t="s">
        <v>474</v>
      </c>
      <c r="J62" s="35"/>
      <c r="K62" s="35"/>
      <c r="L62" s="35"/>
      <c r="M62" s="35"/>
      <c r="N62" s="42"/>
    </row>
    <row r="63" spans="1:14" x14ac:dyDescent="0.25">
      <c r="A63" s="67">
        <f>A61+1</f>
        <v>54</v>
      </c>
      <c r="D63" s="112" t="s">
        <v>489</v>
      </c>
      <c r="E63" s="113" t="s">
        <v>495</v>
      </c>
      <c r="F63" s="113" t="s">
        <v>490</v>
      </c>
      <c r="G63" s="119" t="s">
        <v>583</v>
      </c>
      <c r="H63" s="133" t="s">
        <v>540</v>
      </c>
      <c r="I63" s="1"/>
      <c r="J63" s="14" t="s">
        <v>547</v>
      </c>
      <c r="K63" s="14" t="s">
        <v>550</v>
      </c>
      <c r="L63" t="s">
        <v>6</v>
      </c>
      <c r="M63" t="s">
        <v>7</v>
      </c>
      <c r="N63" s="43"/>
    </row>
    <row r="64" spans="1:14" x14ac:dyDescent="0.25">
      <c r="A64" s="67">
        <f>A63+1</f>
        <v>55</v>
      </c>
      <c r="C64" s="68"/>
      <c r="D64" s="105" t="s">
        <v>489</v>
      </c>
      <c r="E64" s="106" t="s">
        <v>495</v>
      </c>
      <c r="F64" s="106" t="str">
        <f t="shared" ref="F64:F65" si="11">_xlfn.LET(
_xlpm.A,6-VALUE(RIGHT(TRIM(CLEAN(D64)),1)),
_xlpm.E,6-VALUE(RIGHT(TRIM(CLEAN(E64)),1)),
IF(AND(_xlpm.A&gt;=4,_xlpm.E&gt;=4),"S1",
IF(OR(AND(_xlpm.A=3,_xlpm.E&gt;=3),AND(_xlpm.A&gt;=4,_xlpm.E=3)),"S2",
IF(AND(_xlpm.A=2,_xlpm.E&gt;=3),"S3",
"S4"))))</f>
        <v>S3</v>
      </c>
      <c r="G64" s="144" t="s">
        <v>569</v>
      </c>
      <c r="H64" s="143" t="s">
        <v>540</v>
      </c>
      <c r="I64" s="1"/>
      <c r="J64" s="14" t="s">
        <v>548</v>
      </c>
      <c r="K64" s="14" t="s">
        <v>550</v>
      </c>
      <c r="L64" t="s">
        <v>6</v>
      </c>
      <c r="M64" t="s">
        <v>7</v>
      </c>
      <c r="N64" s="43"/>
    </row>
    <row r="65" spans="1:14" x14ac:dyDescent="0.25">
      <c r="A65" s="67">
        <f>A64+1</f>
        <v>56</v>
      </c>
      <c r="C65" s="69"/>
      <c r="D65" s="105" t="s">
        <v>489</v>
      </c>
      <c r="E65" s="106" t="s">
        <v>495</v>
      </c>
      <c r="F65" s="113" t="str">
        <f t="shared" si="11"/>
        <v>S3</v>
      </c>
      <c r="G65" t="s">
        <v>553</v>
      </c>
      <c r="H65" s="133" t="s">
        <v>540</v>
      </c>
      <c r="I65" s="1"/>
      <c r="J65" s="14" t="s">
        <v>549</v>
      </c>
      <c r="K65" s="14" t="s">
        <v>550</v>
      </c>
      <c r="L65" t="s">
        <v>6</v>
      </c>
      <c r="M65" t="s">
        <v>7</v>
      </c>
      <c r="N65" s="43"/>
    </row>
    <row r="66" spans="1:14" x14ac:dyDescent="0.25">
      <c r="A66" s="93"/>
      <c r="B66" s="35"/>
      <c r="C66" s="35"/>
      <c r="D66" s="8"/>
      <c r="E66" s="35"/>
      <c r="F66" s="35"/>
      <c r="G66" s="35"/>
      <c r="H66" s="132"/>
      <c r="I66" s="91" t="s">
        <v>480</v>
      </c>
      <c r="J66" s="35"/>
      <c r="K66" s="35"/>
      <c r="L66" s="35"/>
      <c r="M66" s="35"/>
      <c r="N66" s="42"/>
    </row>
    <row r="67" spans="1:14" x14ac:dyDescent="0.25">
      <c r="A67" s="72">
        <f>A65+1</f>
        <v>57</v>
      </c>
      <c r="B67" s="68" t="s">
        <v>539</v>
      </c>
      <c r="C67" s="68"/>
      <c r="D67" s="105" t="s">
        <v>489</v>
      </c>
      <c r="E67" s="106" t="s">
        <v>487</v>
      </c>
      <c r="F67" s="106" t="s">
        <v>490</v>
      </c>
      <c r="G67" t="s">
        <v>533</v>
      </c>
      <c r="H67" s="133" t="s">
        <v>540</v>
      </c>
      <c r="I67" s="1"/>
      <c r="J67" s="14" t="s">
        <v>469</v>
      </c>
      <c r="K67" t="s">
        <v>420</v>
      </c>
      <c r="L67" t="s">
        <v>6</v>
      </c>
      <c r="M67" t="s">
        <v>7</v>
      </c>
      <c r="N67" s="43" t="s">
        <v>346</v>
      </c>
    </row>
    <row r="68" spans="1:14" x14ac:dyDescent="0.25">
      <c r="A68" s="72">
        <f>A67+1</f>
        <v>58</v>
      </c>
      <c r="B68" s="68" t="s">
        <v>539</v>
      </c>
      <c r="C68" s="69"/>
      <c r="D68" s="111" t="s">
        <v>486</v>
      </c>
      <c r="E68" s="106" t="s">
        <v>493</v>
      </c>
      <c r="F68" s="106" t="s">
        <v>488</v>
      </c>
      <c r="G68" t="s">
        <v>492</v>
      </c>
      <c r="H68" s="131" t="s">
        <v>538</v>
      </c>
      <c r="I68" s="1"/>
      <c r="J68" s="14" t="s">
        <v>345</v>
      </c>
      <c r="K68" t="s">
        <v>381</v>
      </c>
      <c r="L68" t="s">
        <v>6</v>
      </c>
      <c r="M68" t="s">
        <v>7</v>
      </c>
      <c r="N68" s="43" t="s">
        <v>365</v>
      </c>
    </row>
    <row r="69" spans="1:14" x14ac:dyDescent="0.25">
      <c r="A69" s="72">
        <f>A68+1</f>
        <v>59</v>
      </c>
      <c r="D69" s="118" t="s">
        <v>429</v>
      </c>
      <c r="E69" s="119" t="s">
        <v>429</v>
      </c>
      <c r="F69" s="119" t="s">
        <v>429</v>
      </c>
      <c r="G69" s="119" t="s">
        <v>429</v>
      </c>
      <c r="H69" s="138" t="s">
        <v>542</v>
      </c>
      <c r="I69" s="1"/>
      <c r="J69" s="14" t="s">
        <v>408</v>
      </c>
      <c r="K69" s="14" t="s">
        <v>411</v>
      </c>
      <c r="L69" t="s">
        <v>6</v>
      </c>
      <c r="M69" t="s">
        <v>7</v>
      </c>
      <c r="N69" s="43"/>
    </row>
    <row r="70" spans="1:14" x14ac:dyDescent="0.25">
      <c r="A70" s="93"/>
      <c r="B70" s="35"/>
      <c r="C70" s="35"/>
      <c r="D70" s="8"/>
      <c r="E70" s="35"/>
      <c r="F70" s="35"/>
      <c r="G70" s="35"/>
      <c r="H70" s="132"/>
      <c r="I70" s="91" t="s">
        <v>479</v>
      </c>
      <c r="J70" s="35"/>
      <c r="K70" s="35"/>
      <c r="L70" s="35"/>
      <c r="M70" s="35"/>
      <c r="N70" s="21"/>
    </row>
    <row r="71" spans="1:14" x14ac:dyDescent="0.25">
      <c r="A71" s="67">
        <f>A69+1</f>
        <v>60</v>
      </c>
      <c r="B71" s="26"/>
      <c r="D71" s="118" t="s">
        <v>429</v>
      </c>
      <c r="E71" s="119" t="s">
        <v>429</v>
      </c>
      <c r="F71" s="119" t="s">
        <v>429</v>
      </c>
      <c r="G71" s="119" t="s">
        <v>429</v>
      </c>
      <c r="H71" s="138" t="s">
        <v>542</v>
      </c>
      <c r="I71" s="1"/>
      <c r="J71" s="15" t="s">
        <v>521</v>
      </c>
      <c r="K71" s="14" t="s">
        <v>411</v>
      </c>
      <c r="L71" t="s">
        <v>6</v>
      </c>
      <c r="M71" t="s">
        <v>7</v>
      </c>
      <c r="N71" s="22" t="s">
        <v>440</v>
      </c>
    </row>
    <row r="72" spans="1:14" x14ac:dyDescent="0.25">
      <c r="A72" s="67">
        <f>A71+1</f>
        <v>61</v>
      </c>
      <c r="B72" s="26"/>
      <c r="D72" s="118" t="s">
        <v>429</v>
      </c>
      <c r="E72" s="119" t="s">
        <v>429</v>
      </c>
      <c r="F72" s="119" t="s">
        <v>429</v>
      </c>
      <c r="G72" s="119" t="s">
        <v>429</v>
      </c>
      <c r="H72" s="138" t="s">
        <v>542</v>
      </c>
      <c r="I72" s="1"/>
      <c r="J72" s="15" t="s">
        <v>522</v>
      </c>
      <c r="K72" s="14" t="s">
        <v>411</v>
      </c>
      <c r="L72" t="s">
        <v>6</v>
      </c>
      <c r="M72" t="s">
        <v>7</v>
      </c>
      <c r="N72" s="22" t="s">
        <v>442</v>
      </c>
    </row>
    <row r="73" spans="1:14" x14ac:dyDescent="0.25">
      <c r="A73" s="67">
        <f t="shared" ref="A73:A74" si="12">A72+1</f>
        <v>62</v>
      </c>
      <c r="B73" s="26"/>
      <c r="D73" s="118" t="s">
        <v>429</v>
      </c>
      <c r="E73" s="119" t="s">
        <v>429</v>
      </c>
      <c r="F73" s="119" t="s">
        <v>429</v>
      </c>
      <c r="G73" s="119" t="s">
        <v>429</v>
      </c>
      <c r="H73" s="138" t="s">
        <v>542</v>
      </c>
      <c r="I73" s="1"/>
      <c r="J73" s="15" t="s">
        <v>523</v>
      </c>
      <c r="K73" s="26" t="s">
        <v>435</v>
      </c>
      <c r="L73" t="s">
        <v>6</v>
      </c>
      <c r="M73" t="s">
        <v>7</v>
      </c>
      <c r="N73" s="22" t="s">
        <v>445</v>
      </c>
    </row>
    <row r="74" spans="1:14" x14ac:dyDescent="0.25">
      <c r="A74" s="67">
        <f t="shared" si="12"/>
        <v>63</v>
      </c>
      <c r="B74" s="68" t="s">
        <v>539</v>
      </c>
      <c r="C74" s="68"/>
      <c r="D74" s="111" t="s">
        <v>510</v>
      </c>
      <c r="E74" s="106" t="s">
        <v>487</v>
      </c>
      <c r="F74" s="106" t="s">
        <v>511</v>
      </c>
      <c r="G74" t="s">
        <v>541</v>
      </c>
      <c r="H74" s="133" t="s">
        <v>540</v>
      </c>
      <c r="I74" s="1"/>
      <c r="J74" s="14" t="s">
        <v>347</v>
      </c>
      <c r="K74" s="14" t="s">
        <v>382</v>
      </c>
      <c r="L74" t="s">
        <v>6</v>
      </c>
      <c r="M74" t="s">
        <v>7</v>
      </c>
      <c r="N74" s="22">
        <v>7</v>
      </c>
    </row>
    <row r="75" spans="1:14" x14ac:dyDescent="0.25">
      <c r="A75" s="72">
        <f>A74+1</f>
        <v>64</v>
      </c>
      <c r="D75" s="111" t="s">
        <v>510</v>
      </c>
      <c r="E75" s="106" t="s">
        <v>487</v>
      </c>
      <c r="F75" s="106" t="s">
        <v>511</v>
      </c>
      <c r="G75" s="26" t="s">
        <v>541</v>
      </c>
      <c r="H75" s="133" t="s">
        <v>540</v>
      </c>
      <c r="I75" s="1"/>
      <c r="J75" s="14" t="s">
        <v>395</v>
      </c>
      <c r="K75" s="14" t="s">
        <v>382</v>
      </c>
      <c r="L75" t="s">
        <v>6</v>
      </c>
      <c r="M75" t="s">
        <v>7</v>
      </c>
      <c r="N75" s="22"/>
    </row>
    <row r="76" spans="1:14" x14ac:dyDescent="0.25">
      <c r="A76" s="93"/>
      <c r="B76" s="35"/>
      <c r="C76" s="35"/>
      <c r="D76" s="8"/>
      <c r="E76" s="35"/>
      <c r="F76" s="35"/>
      <c r="G76" s="35"/>
      <c r="H76" s="132"/>
      <c r="I76" s="8" t="s">
        <v>477</v>
      </c>
      <c r="J76" s="35"/>
      <c r="K76" s="35"/>
      <c r="L76" s="35"/>
      <c r="M76" s="35"/>
      <c r="N76" s="42"/>
    </row>
    <row r="77" spans="1:14" x14ac:dyDescent="0.25">
      <c r="A77" s="72">
        <f>A75+1</f>
        <v>65</v>
      </c>
      <c r="B77" s="68" t="s">
        <v>539</v>
      </c>
      <c r="C77" s="69"/>
      <c r="D77" s="118" t="s">
        <v>429</v>
      </c>
      <c r="E77" s="119" t="s">
        <v>429</v>
      </c>
      <c r="F77" s="119" t="s">
        <v>429</v>
      </c>
      <c r="G77" s="119" t="s">
        <v>429</v>
      </c>
      <c r="H77" s="138" t="s">
        <v>542</v>
      </c>
      <c r="I77" s="1"/>
      <c r="J77" s="14" t="s">
        <v>189</v>
      </c>
      <c r="K77" t="s">
        <v>435</v>
      </c>
      <c r="L77" t="s">
        <v>6</v>
      </c>
      <c r="M77" t="s">
        <v>7</v>
      </c>
      <c r="N77" s="22" t="s">
        <v>369</v>
      </c>
    </row>
    <row r="78" spans="1:14" x14ac:dyDescent="0.25">
      <c r="A78" s="72">
        <f>A77+1</f>
        <v>66</v>
      </c>
      <c r="D78" s="112" t="s">
        <v>486</v>
      </c>
      <c r="E78" s="113" t="s">
        <v>487</v>
      </c>
      <c r="F78" s="113" t="s">
        <v>488</v>
      </c>
      <c r="G78" s="26" t="s">
        <v>525</v>
      </c>
      <c r="H78" s="133" t="s">
        <v>540</v>
      </c>
      <c r="I78" s="1"/>
      <c r="J78" s="14" t="s">
        <v>370</v>
      </c>
      <c r="K78" t="s">
        <v>420</v>
      </c>
      <c r="L78" t="s">
        <v>6</v>
      </c>
      <c r="M78" t="s">
        <v>7</v>
      </c>
      <c r="N78" s="22"/>
    </row>
    <row r="79" spans="1:14" x14ac:dyDescent="0.25">
      <c r="A79" s="72">
        <f t="shared" ref="A79:A81" si="13">A78+1</f>
        <v>67</v>
      </c>
      <c r="D79" s="112" t="s">
        <v>486</v>
      </c>
      <c r="E79" s="113" t="s">
        <v>487</v>
      </c>
      <c r="F79" s="113" t="s">
        <v>488</v>
      </c>
      <c r="G79" s="26" t="s">
        <v>529</v>
      </c>
      <c r="H79" s="133" t="s">
        <v>540</v>
      </c>
      <c r="I79" s="1"/>
      <c r="J79" s="14" t="s">
        <v>104</v>
      </c>
      <c r="K79" s="14" t="s">
        <v>381</v>
      </c>
      <c r="L79" t="s">
        <v>6</v>
      </c>
      <c r="M79" t="s">
        <v>7</v>
      </c>
      <c r="N79" s="22"/>
    </row>
    <row r="80" spans="1:14" x14ac:dyDescent="0.25">
      <c r="A80" s="72">
        <f t="shared" si="13"/>
        <v>68</v>
      </c>
      <c r="D80" s="105" t="s">
        <v>486</v>
      </c>
      <c r="E80" s="117" t="s">
        <v>487</v>
      </c>
      <c r="F80" s="123" t="s">
        <v>488</v>
      </c>
      <c r="G80" s="129" t="s">
        <v>517</v>
      </c>
      <c r="H80" s="133" t="s">
        <v>540</v>
      </c>
      <c r="I80" s="1"/>
      <c r="J80" s="14" t="s">
        <v>252</v>
      </c>
      <c r="K80" s="14" t="s">
        <v>383</v>
      </c>
      <c r="L80" t="s">
        <v>105</v>
      </c>
      <c r="M80" t="s">
        <v>7</v>
      </c>
      <c r="N80" s="22"/>
    </row>
    <row r="81" spans="1:14" x14ac:dyDescent="0.25">
      <c r="A81" s="72">
        <f t="shared" si="13"/>
        <v>69</v>
      </c>
      <c r="D81" s="105" t="s">
        <v>486</v>
      </c>
      <c r="E81" s="117" t="s">
        <v>487</v>
      </c>
      <c r="F81" s="123" t="s">
        <v>488</v>
      </c>
      <c r="G81" s="129" t="s">
        <v>517</v>
      </c>
      <c r="H81" s="131" t="s">
        <v>538</v>
      </c>
      <c r="I81" s="1"/>
      <c r="J81" s="14" t="s">
        <v>253</v>
      </c>
      <c r="K81" s="14" t="s">
        <v>381</v>
      </c>
      <c r="L81" t="s">
        <v>371</v>
      </c>
      <c r="M81" t="s">
        <v>7</v>
      </c>
      <c r="N81" s="22"/>
    </row>
    <row r="82" spans="1:14" x14ac:dyDescent="0.25">
      <c r="A82" s="90"/>
      <c r="B82" s="35"/>
      <c r="C82" s="35"/>
      <c r="D82" s="8"/>
      <c r="E82" s="35"/>
      <c r="F82" s="35"/>
      <c r="G82" s="35"/>
      <c r="H82" s="132"/>
      <c r="I82" s="91" t="s">
        <v>475</v>
      </c>
      <c r="J82" s="34"/>
      <c r="K82" s="35"/>
      <c r="L82" s="35"/>
      <c r="M82" s="35"/>
      <c r="N82" s="42"/>
    </row>
    <row r="83" spans="1:14" x14ac:dyDescent="0.25">
      <c r="A83" s="72">
        <f>A81+1</f>
        <v>70</v>
      </c>
      <c r="D83" s="118" t="s">
        <v>429</v>
      </c>
      <c r="E83" s="119" t="s">
        <v>429</v>
      </c>
      <c r="F83" s="119" t="s">
        <v>429</v>
      </c>
      <c r="G83" s="119" t="s">
        <v>429</v>
      </c>
      <c r="H83" s="138" t="s">
        <v>542</v>
      </c>
      <c r="I83" s="1"/>
      <c r="J83" s="14" t="s">
        <v>436</v>
      </c>
      <c r="K83" s="14" t="s">
        <v>383</v>
      </c>
      <c r="L83" t="s">
        <v>147</v>
      </c>
      <c r="M83" t="s">
        <v>7</v>
      </c>
      <c r="N83" s="43"/>
    </row>
    <row r="84" spans="1:14" x14ac:dyDescent="0.25">
      <c r="A84" s="72">
        <f t="shared" ref="A84:A85" si="14">A83+1</f>
        <v>71</v>
      </c>
      <c r="D84" s="105" t="s">
        <v>489</v>
      </c>
      <c r="E84" s="106" t="s">
        <v>495</v>
      </c>
      <c r="F84" s="117" t="s">
        <v>490</v>
      </c>
      <c r="G84" t="s">
        <v>530</v>
      </c>
      <c r="H84" s="131" t="s">
        <v>538</v>
      </c>
      <c r="I84" s="1"/>
      <c r="J84" s="15" t="s">
        <v>393</v>
      </c>
      <c r="K84" t="s">
        <v>420</v>
      </c>
      <c r="L84" t="s">
        <v>6</v>
      </c>
      <c r="M84" t="s">
        <v>7</v>
      </c>
      <c r="N84" s="43"/>
    </row>
    <row r="85" spans="1:14" x14ac:dyDescent="0.25">
      <c r="A85" s="72">
        <f t="shared" si="14"/>
        <v>72</v>
      </c>
      <c r="D85" s="105" t="s">
        <v>489</v>
      </c>
      <c r="E85" s="106" t="s">
        <v>487</v>
      </c>
      <c r="F85" s="106" t="s">
        <v>490</v>
      </c>
      <c r="G85" t="s">
        <v>401</v>
      </c>
      <c r="H85" s="133" t="s">
        <v>540</v>
      </c>
      <c r="I85" s="1"/>
      <c r="J85" s="14" t="s">
        <v>418</v>
      </c>
      <c r="K85" s="15" t="s">
        <v>419</v>
      </c>
      <c r="L85" t="s">
        <v>6</v>
      </c>
      <c r="M85" t="s">
        <v>7</v>
      </c>
      <c r="N85" s="43"/>
    </row>
    <row r="86" spans="1:14" x14ac:dyDescent="0.25">
      <c r="A86" s="93"/>
      <c r="B86" s="35"/>
      <c r="C86" s="35"/>
      <c r="D86" s="8"/>
      <c r="E86" s="35"/>
      <c r="F86" s="35"/>
      <c r="G86" s="35"/>
      <c r="H86" s="132"/>
      <c r="I86" s="91" t="s">
        <v>476</v>
      </c>
      <c r="J86" s="35"/>
      <c r="K86" s="34"/>
      <c r="L86" s="35"/>
      <c r="M86" s="35"/>
      <c r="N86" s="95"/>
    </row>
    <row r="87" spans="1:14" ht="15" customHeight="1" x14ac:dyDescent="0.25">
      <c r="A87" s="72">
        <f>A85+1</f>
        <v>73</v>
      </c>
      <c r="B87" s="68" t="s">
        <v>539</v>
      </c>
      <c r="C87" s="92" t="s">
        <v>527</v>
      </c>
      <c r="D87" s="118" t="s">
        <v>429</v>
      </c>
      <c r="E87" s="119" t="s">
        <v>429</v>
      </c>
      <c r="F87" s="119" t="s">
        <v>429</v>
      </c>
      <c r="G87" s="119" t="s">
        <v>429</v>
      </c>
      <c r="H87" s="138" t="s">
        <v>542</v>
      </c>
      <c r="I87" s="1"/>
      <c r="J87" s="14" t="s">
        <v>406</v>
      </c>
      <c r="K87" s="14" t="s">
        <v>382</v>
      </c>
      <c r="L87" t="s">
        <v>373</v>
      </c>
      <c r="M87" t="s">
        <v>7</v>
      </c>
      <c r="N87" s="43">
        <v>1</v>
      </c>
    </row>
    <row r="88" spans="1:14" ht="15" customHeight="1" x14ac:dyDescent="0.25">
      <c r="A88" s="72">
        <f>A87+1</f>
        <v>74</v>
      </c>
      <c r="D88" s="112" t="s">
        <v>489</v>
      </c>
      <c r="E88" s="113" t="s">
        <v>487</v>
      </c>
      <c r="F88" s="113" t="s">
        <v>490</v>
      </c>
      <c r="G88" t="s">
        <v>494</v>
      </c>
      <c r="H88" s="131" t="s">
        <v>538</v>
      </c>
      <c r="I88" s="1"/>
      <c r="J88" s="15" t="s">
        <v>558</v>
      </c>
      <c r="K88" t="s">
        <v>420</v>
      </c>
      <c r="L88" t="s">
        <v>6</v>
      </c>
      <c r="M88" t="s">
        <v>7</v>
      </c>
      <c r="N88" s="45" t="s">
        <v>346</v>
      </c>
    </row>
    <row r="89" spans="1:14" ht="15" customHeight="1" x14ac:dyDescent="0.25">
      <c r="A89" s="72">
        <f t="shared" ref="A89:A93" si="15">A88+1</f>
        <v>75</v>
      </c>
      <c r="D89" s="112" t="s">
        <v>489</v>
      </c>
      <c r="E89" s="113" t="s">
        <v>487</v>
      </c>
      <c r="F89" s="113" t="s">
        <v>490</v>
      </c>
      <c r="G89" t="s">
        <v>494</v>
      </c>
      <c r="H89" s="131" t="s">
        <v>538</v>
      </c>
      <c r="I89" s="1"/>
      <c r="J89" s="15" t="s">
        <v>551</v>
      </c>
      <c r="K89" s="15" t="s">
        <v>552</v>
      </c>
      <c r="L89" t="s">
        <v>6</v>
      </c>
      <c r="M89" t="s">
        <v>7</v>
      </c>
      <c r="N89" s="45" t="s">
        <v>532</v>
      </c>
    </row>
    <row r="90" spans="1:14" ht="15" customHeight="1" x14ac:dyDescent="0.25">
      <c r="A90" s="72">
        <f t="shared" si="15"/>
        <v>76</v>
      </c>
      <c r="D90" s="105" t="s">
        <v>489</v>
      </c>
      <c r="E90" s="106" t="s">
        <v>487</v>
      </c>
      <c r="F90" s="106" t="s">
        <v>490</v>
      </c>
      <c r="G90" t="s">
        <v>554</v>
      </c>
      <c r="H90" s="131" t="s">
        <v>538</v>
      </c>
      <c r="I90" s="1"/>
      <c r="J90" s="15" t="s">
        <v>555</v>
      </c>
      <c r="K90" t="s">
        <v>420</v>
      </c>
      <c r="L90" t="s">
        <v>6</v>
      </c>
      <c r="M90" t="s">
        <v>7</v>
      </c>
      <c r="N90" s="45" t="s">
        <v>169</v>
      </c>
    </row>
    <row r="91" spans="1:14" ht="15" customHeight="1" x14ac:dyDescent="0.25">
      <c r="A91" s="72">
        <f t="shared" si="15"/>
        <v>77</v>
      </c>
      <c r="D91" s="105" t="s">
        <v>489</v>
      </c>
      <c r="E91" s="106" t="s">
        <v>487</v>
      </c>
      <c r="F91" s="106" t="s">
        <v>490</v>
      </c>
      <c r="G91" t="s">
        <v>554</v>
      </c>
      <c r="H91" s="131" t="s">
        <v>538</v>
      </c>
      <c r="I91" s="1"/>
      <c r="J91" s="15" t="s">
        <v>559</v>
      </c>
      <c r="K91" s="15" t="s">
        <v>560</v>
      </c>
      <c r="L91" t="s">
        <v>6</v>
      </c>
      <c r="M91" t="s">
        <v>7</v>
      </c>
      <c r="N91" s="45"/>
    </row>
    <row r="92" spans="1:14" ht="15" customHeight="1" x14ac:dyDescent="0.25">
      <c r="A92" s="72">
        <f t="shared" si="15"/>
        <v>78</v>
      </c>
      <c r="D92" s="111" t="s">
        <v>515</v>
      </c>
      <c r="E92" s="106" t="s">
        <v>493</v>
      </c>
      <c r="F92" s="106" t="s">
        <v>488</v>
      </c>
      <c r="G92" t="s">
        <v>531</v>
      </c>
      <c r="H92" s="131" t="s">
        <v>538</v>
      </c>
      <c r="I92" s="1"/>
      <c r="J92" s="15" t="s">
        <v>556</v>
      </c>
      <c r="K92" t="s">
        <v>420</v>
      </c>
      <c r="L92" t="s">
        <v>6</v>
      </c>
      <c r="M92" t="s">
        <v>7</v>
      </c>
      <c r="N92" s="45" t="s">
        <v>346</v>
      </c>
    </row>
    <row r="93" spans="1:14" ht="15" customHeight="1" x14ac:dyDescent="0.25">
      <c r="A93" s="72">
        <f t="shared" si="15"/>
        <v>79</v>
      </c>
      <c r="D93" s="111" t="s">
        <v>515</v>
      </c>
      <c r="E93" s="106" t="s">
        <v>493</v>
      </c>
      <c r="F93" s="106" t="s">
        <v>488</v>
      </c>
      <c r="G93" t="s">
        <v>531</v>
      </c>
      <c r="H93" s="131" t="s">
        <v>538</v>
      </c>
      <c r="I93" s="1"/>
      <c r="J93" s="15" t="s">
        <v>557</v>
      </c>
      <c r="K93" s="15" t="s">
        <v>561</v>
      </c>
      <c r="L93" t="s">
        <v>6</v>
      </c>
      <c r="M93" t="s">
        <v>7</v>
      </c>
      <c r="N93" s="45" t="s">
        <v>532</v>
      </c>
    </row>
    <row r="94" spans="1:14" x14ac:dyDescent="0.25">
      <c r="A94" s="125"/>
      <c r="B94" s="54" t="s">
        <v>405</v>
      </c>
      <c r="C94" s="54"/>
      <c r="D94" s="126"/>
      <c r="E94" s="54"/>
      <c r="F94" s="54"/>
      <c r="G94" s="54"/>
      <c r="H94" s="133"/>
      <c r="I94" s="126"/>
      <c r="J94" s="127"/>
      <c r="K94" s="127"/>
      <c r="L94" s="54"/>
      <c r="M94" s="54"/>
      <c r="N94" s="128"/>
    </row>
    <row r="95" spans="1:14" x14ac:dyDescent="0.25">
      <c r="A95" s="75"/>
      <c r="B95" s="76"/>
      <c r="C95" s="76"/>
      <c r="D95" s="77"/>
      <c r="E95" s="76"/>
      <c r="F95" s="76"/>
      <c r="G95" s="76"/>
      <c r="H95" s="134"/>
      <c r="I95" s="124" t="s">
        <v>534</v>
      </c>
      <c r="J95" s="76"/>
      <c r="K95" s="76"/>
      <c r="L95" s="76"/>
      <c r="M95" s="76"/>
      <c r="N95" s="78"/>
    </row>
    <row r="96" spans="1:14" x14ac:dyDescent="0.25">
      <c r="A96" s="79"/>
      <c r="B96" s="80"/>
      <c r="C96" s="80"/>
      <c r="D96" s="114" t="s">
        <v>489</v>
      </c>
      <c r="E96" s="115" t="s">
        <v>487</v>
      </c>
      <c r="F96" s="116" t="s">
        <v>490</v>
      </c>
      <c r="G96" s="80" t="s">
        <v>402</v>
      </c>
      <c r="H96" s="135"/>
      <c r="I96" s="81"/>
      <c r="J96" s="82" t="s">
        <v>350</v>
      </c>
      <c r="K96" s="82" t="s">
        <v>383</v>
      </c>
      <c r="L96" s="80" t="s">
        <v>86</v>
      </c>
      <c r="M96" s="80" t="s">
        <v>7</v>
      </c>
      <c r="N96" s="43"/>
    </row>
    <row r="97" spans="1:14" x14ac:dyDescent="0.25">
      <c r="A97" s="79"/>
      <c r="B97" s="83"/>
      <c r="C97" s="83"/>
      <c r="D97" s="114" t="s">
        <v>486</v>
      </c>
      <c r="E97" s="115" t="s">
        <v>493</v>
      </c>
      <c r="F97" s="116" t="s">
        <v>488</v>
      </c>
      <c r="G97" s="80" t="s">
        <v>496</v>
      </c>
      <c r="H97" s="135"/>
      <c r="I97" s="81"/>
      <c r="J97" s="82" t="s">
        <v>349</v>
      </c>
      <c r="K97" s="82" t="s">
        <v>383</v>
      </c>
      <c r="L97" s="80" t="s">
        <v>86</v>
      </c>
      <c r="M97" s="80" t="s">
        <v>7</v>
      </c>
      <c r="N97" s="43"/>
    </row>
    <row r="98" spans="1:14" x14ac:dyDescent="0.25">
      <c r="A98" s="79"/>
      <c r="B98" s="80"/>
      <c r="C98" s="80"/>
      <c r="D98" s="81"/>
      <c r="E98" s="80"/>
      <c r="F98" s="80"/>
      <c r="G98" s="80"/>
      <c r="H98" s="135"/>
      <c r="I98" s="81"/>
      <c r="J98" s="82" t="s">
        <v>114</v>
      </c>
      <c r="K98" s="82" t="s">
        <v>76</v>
      </c>
      <c r="L98" s="80" t="s">
        <v>76</v>
      </c>
      <c r="M98" s="80" t="s">
        <v>7</v>
      </c>
      <c r="N98" s="43"/>
    </row>
    <row r="99" spans="1:14" x14ac:dyDescent="0.25">
      <c r="A99" s="79"/>
      <c r="B99" s="80"/>
      <c r="C99" s="80"/>
      <c r="D99" s="81"/>
      <c r="E99" s="80"/>
      <c r="F99" s="80"/>
      <c r="G99" s="80"/>
      <c r="H99" s="135"/>
      <c r="I99" s="81"/>
      <c r="J99" s="80" t="s">
        <v>115</v>
      </c>
      <c r="K99" s="80" t="s">
        <v>76</v>
      </c>
      <c r="L99" s="80" t="s">
        <v>76</v>
      </c>
      <c r="M99" s="80" t="s">
        <v>7</v>
      </c>
      <c r="N99" s="43"/>
    </row>
    <row r="100" spans="1:14" x14ac:dyDescent="0.25">
      <c r="A100" s="75"/>
      <c r="B100" s="76"/>
      <c r="C100" s="76"/>
      <c r="D100" s="77"/>
      <c r="E100" s="76"/>
      <c r="F100" s="76"/>
      <c r="G100" s="130"/>
      <c r="H100" s="136"/>
      <c r="I100" s="124" t="s">
        <v>478</v>
      </c>
      <c r="J100" s="76"/>
      <c r="K100" s="76"/>
      <c r="L100" s="76"/>
      <c r="M100" s="76"/>
      <c r="N100" s="78"/>
    </row>
    <row r="101" spans="1:14" x14ac:dyDescent="0.25">
      <c r="A101" s="79"/>
      <c r="B101" s="80"/>
      <c r="C101" s="80"/>
      <c r="D101" s="81"/>
      <c r="E101" s="80"/>
      <c r="F101" s="80"/>
      <c r="G101" s="80"/>
      <c r="H101" s="135"/>
      <c r="I101" s="81"/>
      <c r="J101" s="82" t="s">
        <v>241</v>
      </c>
      <c r="K101" s="80" t="s">
        <v>381</v>
      </c>
      <c r="L101" s="80" t="s">
        <v>6</v>
      </c>
      <c r="M101" s="80" t="s">
        <v>7</v>
      </c>
      <c r="N101" s="50" t="s">
        <v>339</v>
      </c>
    </row>
    <row r="102" spans="1:14" x14ac:dyDescent="0.25">
      <c r="A102" s="79"/>
      <c r="B102" s="84"/>
      <c r="C102" s="84"/>
      <c r="D102" s="109"/>
      <c r="E102" s="84"/>
      <c r="F102" s="84"/>
      <c r="G102" s="80"/>
      <c r="H102" s="135"/>
      <c r="I102" s="81"/>
      <c r="J102" s="82" t="s">
        <v>238</v>
      </c>
      <c r="K102" s="80" t="s">
        <v>381</v>
      </c>
      <c r="L102" s="80" t="s">
        <v>6</v>
      </c>
      <c r="M102" s="80" t="s">
        <v>7</v>
      </c>
      <c r="N102" s="50">
        <v>34933662100</v>
      </c>
    </row>
    <row r="103" spans="1:14" x14ac:dyDescent="0.25">
      <c r="A103" s="79"/>
      <c r="B103" s="85"/>
      <c r="C103" s="85"/>
      <c r="D103" s="110"/>
      <c r="E103" s="85"/>
      <c r="F103" s="85"/>
      <c r="G103" s="80"/>
      <c r="H103" s="135"/>
      <c r="I103" s="81"/>
      <c r="J103" s="82" t="s">
        <v>239</v>
      </c>
      <c r="K103" s="80" t="s">
        <v>381</v>
      </c>
      <c r="L103" s="80" t="s">
        <v>6</v>
      </c>
      <c r="M103" s="80" t="s">
        <v>7</v>
      </c>
      <c r="N103" s="50"/>
    </row>
    <row r="104" spans="1:14" x14ac:dyDescent="0.25">
      <c r="A104" s="79"/>
      <c r="B104" s="85"/>
      <c r="C104" s="85"/>
      <c r="D104" s="110"/>
      <c r="E104" s="85"/>
      <c r="F104" s="85"/>
      <c r="G104" s="80"/>
      <c r="H104" s="135"/>
      <c r="I104" s="81"/>
      <c r="J104" s="82" t="s">
        <v>240</v>
      </c>
      <c r="K104" s="80" t="s">
        <v>381</v>
      </c>
      <c r="L104" s="80" t="s">
        <v>6</v>
      </c>
      <c r="M104" s="80" t="s">
        <v>7</v>
      </c>
      <c r="N104" s="24" t="s">
        <v>368</v>
      </c>
    </row>
    <row r="105" spans="1:14" x14ac:dyDescent="0.25">
      <c r="A105" s="79"/>
      <c r="B105" s="80"/>
      <c r="C105" s="80"/>
      <c r="D105" s="81"/>
      <c r="E105" s="80"/>
      <c r="F105" s="80"/>
      <c r="G105" s="80"/>
      <c r="H105" s="135"/>
      <c r="I105" s="81"/>
      <c r="J105" s="82" t="s">
        <v>74</v>
      </c>
      <c r="K105" s="80" t="s">
        <v>381</v>
      </c>
      <c r="L105" s="80" t="s">
        <v>6</v>
      </c>
      <c r="M105" s="80" t="s">
        <v>7</v>
      </c>
      <c r="N105" s="22"/>
    </row>
    <row r="106" spans="1:14" x14ac:dyDescent="0.25">
      <c r="A106" s="79"/>
      <c r="B106" s="80"/>
      <c r="C106" s="80"/>
      <c r="D106" s="81"/>
      <c r="E106" s="80"/>
      <c r="F106" s="80"/>
      <c r="G106" s="80"/>
      <c r="H106" s="135"/>
      <c r="I106" s="81"/>
      <c r="J106" s="82" t="s">
        <v>242</v>
      </c>
      <c r="K106" s="80" t="s">
        <v>381</v>
      </c>
      <c r="L106" s="80" t="s">
        <v>6</v>
      </c>
      <c r="M106" s="80" t="s">
        <v>7</v>
      </c>
      <c r="N106" s="22"/>
    </row>
    <row r="107" spans="1:14" x14ac:dyDescent="0.25">
      <c r="A107" s="79"/>
      <c r="B107" s="80"/>
      <c r="C107" s="80"/>
      <c r="D107" s="81"/>
      <c r="E107" s="80"/>
      <c r="F107" s="80"/>
      <c r="G107" s="80"/>
      <c r="H107" s="135"/>
      <c r="I107" s="81"/>
      <c r="J107" s="82" t="s">
        <v>243</v>
      </c>
      <c r="K107" s="80" t="s">
        <v>381</v>
      </c>
      <c r="L107" s="80" t="s">
        <v>6</v>
      </c>
      <c r="M107" s="80" t="s">
        <v>7</v>
      </c>
      <c r="N107" s="51"/>
    </row>
    <row r="108" spans="1:14" ht="15.75" thickBot="1" x14ac:dyDescent="0.3">
      <c r="A108" s="86"/>
      <c r="B108" s="87"/>
      <c r="C108" s="87"/>
      <c r="D108" s="88"/>
      <c r="E108" s="87"/>
      <c r="F108" s="87"/>
      <c r="G108" s="87"/>
      <c r="H108" s="137"/>
      <c r="I108" s="88"/>
      <c r="J108" s="89" t="s">
        <v>244</v>
      </c>
      <c r="K108" s="87" t="s">
        <v>381</v>
      </c>
      <c r="L108" s="87" t="s">
        <v>6</v>
      </c>
      <c r="M108" s="87" t="s">
        <v>7</v>
      </c>
      <c r="N108" s="101"/>
    </row>
    <row r="109" spans="1:14" x14ac:dyDescent="0.25">
      <c r="J109" s="18"/>
      <c r="K109" s="18"/>
    </row>
    <row r="215" spans="10:11" x14ac:dyDescent="0.25">
      <c r="J215" s="7" t="s">
        <v>19</v>
      </c>
      <c r="K215" s="7"/>
    </row>
    <row r="216" spans="10:11" x14ac:dyDescent="0.25">
      <c r="J216" t="s">
        <v>5</v>
      </c>
    </row>
    <row r="217" spans="10:11" x14ac:dyDescent="0.25">
      <c r="J217" t="s">
        <v>116</v>
      </c>
    </row>
    <row r="218" spans="10:11" x14ac:dyDescent="0.25">
      <c r="J218" t="s">
        <v>117</v>
      </c>
    </row>
    <row r="219" spans="10:11" x14ac:dyDescent="0.25">
      <c r="J219" t="s">
        <v>118</v>
      </c>
    </row>
    <row r="220" spans="10:11" x14ac:dyDescent="0.25">
      <c r="J220" t="s">
        <v>119</v>
      </c>
    </row>
    <row r="221" spans="10:11" x14ac:dyDescent="0.25">
      <c r="J221" t="s">
        <v>120</v>
      </c>
    </row>
    <row r="222" spans="10:11" x14ac:dyDescent="0.25">
      <c r="J222" t="s">
        <v>121</v>
      </c>
    </row>
    <row r="223" spans="10:11" x14ac:dyDescent="0.25">
      <c r="J223" t="s">
        <v>122</v>
      </c>
    </row>
    <row r="224" spans="10:11" x14ac:dyDescent="0.25">
      <c r="J224" t="s">
        <v>123</v>
      </c>
    </row>
    <row r="225" spans="10:11" x14ac:dyDescent="0.25">
      <c r="J225" t="s">
        <v>124</v>
      </c>
    </row>
    <row r="226" spans="10:11" x14ac:dyDescent="0.25">
      <c r="J226" t="s">
        <v>125</v>
      </c>
    </row>
    <row r="229" spans="10:11" x14ac:dyDescent="0.25">
      <c r="J229" s="6" t="s">
        <v>38</v>
      </c>
      <c r="K229" s="6"/>
    </row>
    <row r="230" spans="10:11" x14ac:dyDescent="0.25">
      <c r="J230" t="s">
        <v>126</v>
      </c>
    </row>
    <row r="231" spans="10:11" x14ac:dyDescent="0.25">
      <c r="J231" t="s">
        <v>127</v>
      </c>
    </row>
    <row r="232" spans="10:11" x14ac:dyDescent="0.25">
      <c r="J232" t="s">
        <v>128</v>
      </c>
    </row>
    <row r="235" spans="10:11" x14ac:dyDescent="0.25">
      <c r="J235" s="6" t="s">
        <v>129</v>
      </c>
      <c r="K235" s="6"/>
    </row>
    <row r="236" spans="10:11" x14ac:dyDescent="0.25">
      <c r="J236" t="s">
        <v>130</v>
      </c>
    </row>
    <row r="237" spans="10:11" x14ac:dyDescent="0.25">
      <c r="J237" t="s">
        <v>131</v>
      </c>
    </row>
    <row r="238" spans="10:11" x14ac:dyDescent="0.25">
      <c r="J238" t="s">
        <v>132</v>
      </c>
    </row>
    <row r="241" spans="10:11" x14ac:dyDescent="0.25">
      <c r="J241" s="6" t="s">
        <v>81</v>
      </c>
      <c r="K241" s="6"/>
    </row>
    <row r="242" spans="10:11" x14ac:dyDescent="0.25">
      <c r="J242" t="s">
        <v>133</v>
      </c>
    </row>
    <row r="243" spans="10:11" x14ac:dyDescent="0.25">
      <c r="J243" t="s">
        <v>134</v>
      </c>
    </row>
    <row r="244" spans="10:11" x14ac:dyDescent="0.25">
      <c r="J244" t="s">
        <v>135</v>
      </c>
    </row>
    <row r="245" spans="10:11" x14ac:dyDescent="0.25">
      <c r="J245" t="s">
        <v>136</v>
      </c>
    </row>
    <row r="247" spans="10:11" x14ac:dyDescent="0.25">
      <c r="J247" s="6" t="s">
        <v>82</v>
      </c>
      <c r="K247" s="6"/>
    </row>
    <row r="248" spans="10:11" x14ac:dyDescent="0.25">
      <c r="J248" t="s">
        <v>137</v>
      </c>
    </row>
    <row r="249" spans="10:11" x14ac:dyDescent="0.25">
      <c r="J249" t="s">
        <v>138</v>
      </c>
    </row>
    <row r="250" spans="10:11" x14ac:dyDescent="0.25">
      <c r="J250" t="s">
        <v>139</v>
      </c>
    </row>
    <row r="251" spans="10:11" x14ac:dyDescent="0.25">
      <c r="J251" t="s">
        <v>140</v>
      </c>
    </row>
    <row r="253" spans="10:11" x14ac:dyDescent="0.25">
      <c r="J253" s="6" t="s">
        <v>83</v>
      </c>
      <c r="K253" s="6"/>
    </row>
    <row r="254" spans="10:11" x14ac:dyDescent="0.25">
      <c r="J254" t="s">
        <v>141</v>
      </c>
    </row>
    <row r="255" spans="10:11" x14ac:dyDescent="0.25">
      <c r="J255" t="s">
        <v>142</v>
      </c>
    </row>
    <row r="256" spans="10:11" x14ac:dyDescent="0.25">
      <c r="J256" t="s">
        <v>143</v>
      </c>
    </row>
    <row r="257" spans="10:11" x14ac:dyDescent="0.25">
      <c r="J257" t="s">
        <v>144</v>
      </c>
    </row>
    <row r="260" spans="10:11" x14ac:dyDescent="0.25">
      <c r="J260" s="6" t="s">
        <v>84</v>
      </c>
      <c r="K260" s="6"/>
    </row>
    <row r="261" spans="10:11" x14ac:dyDescent="0.25">
      <c r="J261" t="s">
        <v>145</v>
      </c>
    </row>
    <row r="262" spans="10:11" x14ac:dyDescent="0.25">
      <c r="J262" t="s">
        <v>146</v>
      </c>
    </row>
    <row r="264" spans="10:11" x14ac:dyDescent="0.25">
      <c r="J264" s="6" t="s">
        <v>87</v>
      </c>
      <c r="K264" s="6"/>
    </row>
    <row r="265" spans="10:11" x14ac:dyDescent="0.25">
      <c r="J265" t="s">
        <v>93</v>
      </c>
    </row>
    <row r="266" spans="10:11" x14ac:dyDescent="0.25">
      <c r="J266" t="s">
        <v>95</v>
      </c>
    </row>
    <row r="267" spans="10:11" x14ac:dyDescent="0.25">
      <c r="J267" t="s">
        <v>97</v>
      </c>
    </row>
    <row r="270" spans="10:11" x14ac:dyDescent="0.25">
      <c r="J270" s="6" t="s">
        <v>93</v>
      </c>
      <c r="K270" s="6"/>
    </row>
    <row r="271" spans="10:11" x14ac:dyDescent="0.25">
      <c r="J271" t="s">
        <v>94</v>
      </c>
    </row>
    <row r="272" spans="10:11" x14ac:dyDescent="0.25">
      <c r="J272" t="s">
        <v>96</v>
      </c>
    </row>
    <row r="273" spans="10:11" x14ac:dyDescent="0.25">
      <c r="J273" t="s">
        <v>98</v>
      </c>
    </row>
    <row r="274" spans="10:11" x14ac:dyDescent="0.25">
      <c r="J274" s="6" t="s">
        <v>95</v>
      </c>
      <c r="K274" s="6"/>
    </row>
    <row r="275" spans="10:11" x14ac:dyDescent="0.25">
      <c r="J275" t="s">
        <v>94</v>
      </c>
    </row>
    <row r="276" spans="10:11" x14ac:dyDescent="0.25">
      <c r="J276" t="s">
        <v>96</v>
      </c>
    </row>
    <row r="277" spans="10:11" x14ac:dyDescent="0.25">
      <c r="J277" t="s">
        <v>98</v>
      </c>
    </row>
    <row r="278" spans="10:11" x14ac:dyDescent="0.25">
      <c r="J278" s="6" t="s">
        <v>97</v>
      </c>
      <c r="K278" s="6"/>
    </row>
    <row r="279" spans="10:11" x14ac:dyDescent="0.25">
      <c r="J279" t="s">
        <v>94</v>
      </c>
    </row>
    <row r="280" spans="10:11" x14ac:dyDescent="0.25">
      <c r="J280" t="s">
        <v>96</v>
      </c>
    </row>
    <row r="281" spans="10:11" x14ac:dyDescent="0.25">
      <c r="J281" t="s">
        <v>98</v>
      </c>
    </row>
  </sheetData>
  <mergeCells count="3">
    <mergeCell ref="B1:N1"/>
    <mergeCell ref="C2:C3"/>
    <mergeCell ref="D2:H2"/>
  </mergeCells>
  <dataValidations count="1">
    <dataValidation type="list" allowBlank="1" showInputMessage="1" showErrorMessage="1" sqref="D33:E34 D36:E38 D64:E65 D55:E55" xr:uid="{7CDEB680-1B18-4371-B8D6-E0D07A899229}">
      <formula1>#REF!</formula1>
    </dataValidation>
  </dataValidations>
  <hyperlinks>
    <hyperlink ref="N104" r:id="rId1" xr:uid="{77A6445E-FFC7-4383-9080-AA4632F20312}"/>
    <hyperlink ref="N6" r:id="rId2" xr:uid="{91CC81F9-CBCB-4977-9F5B-3BDE5C51E40F}"/>
  </hyperlinks>
  <pageMargins left="0.7" right="0.7" top="0.75" bottom="0.75" header="0.3" footer="0.3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6B0A7A9ED5B749A3E6ACCDB5D52807" ma:contentTypeVersion="23" ma:contentTypeDescription="Crear nuevo documento." ma:contentTypeScope="" ma:versionID="feafc1eb0a923622f5d553dc5aadeeca">
  <xsd:schema xmlns:xsd="http://www.w3.org/2001/XMLSchema" xmlns:xs="http://www.w3.org/2001/XMLSchema" xmlns:p="http://schemas.microsoft.com/office/2006/metadata/properties" xmlns:ns1="http://schemas.microsoft.com/sharepoint/v3" xmlns:ns2="eb47e336-ab50-4138-bed7-9fa8fb81fcf3" xmlns:ns3="f84eb626-3a1b-4c47-b1c9-f09f3a6beba4" targetNamespace="http://schemas.microsoft.com/office/2006/metadata/properties" ma:root="true" ma:fieldsID="8b2478c2125fced3832995b87560a9e3" ns1:_="" ns2:_="" ns3:_="">
    <xsd:import namespace="http://schemas.microsoft.com/sharepoint/v3"/>
    <xsd:import namespace="eb47e336-ab50-4138-bed7-9fa8fb81fcf3"/>
    <xsd:import namespace="f84eb626-3a1b-4c47-b1c9-f09f3a6be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7e336-ab50-4138-bed7-9fa8fb81fc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dexed="true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189d43-8d75-486d-bc0b-4d04dee2c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4eb626-3a1b-4c47-b1c9-f09f3a6beba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e0e3701-d2e5-4da8-ac36-8ef582c6ee85}" ma:internalName="TaxCatchAll" ma:showField="CatchAllData" ma:web="f84eb626-3a1b-4c47-b1c9-f09f3a6be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47e336-ab50-4138-bed7-9fa8fb81fcf3">
      <Terms xmlns="http://schemas.microsoft.com/office/infopath/2007/PartnerControls"/>
    </lcf76f155ced4ddcb4097134ff3c332f>
    <TaxCatchAll xmlns="f84eb626-3a1b-4c47-b1c9-f09f3a6beba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65C414-7286-4A71-8771-56B066A945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47e336-ab50-4138-bed7-9fa8fb81fcf3"/>
    <ds:schemaRef ds:uri="f84eb626-3a1b-4c47-b1c9-f09f3a6beb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1E880F-737A-4E43-9AB9-37AE47C157F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efb7a9b1-4e77-4bec-9ad9-41f321ee3dbd"/>
    <ds:schemaRef ds:uri="http://schemas.microsoft.com/office/2006/documentManagement/types"/>
    <ds:schemaRef ds:uri="http://schemas.microsoft.com/office/infopath/2007/PartnerControls"/>
    <ds:schemaRef ds:uri="18e1d83d-6978-437c-8fd3-d0f1a95ff37c"/>
    <ds:schemaRef ds:uri="http://www.w3.org/XML/1998/namespace"/>
    <ds:schemaRef ds:uri="http://purl.org/dc/dcmitype/"/>
    <ds:schemaRef ds:uri="eb47e336-ab50-4138-bed7-9fa8fb81fcf3"/>
    <ds:schemaRef ds:uri="f84eb626-3a1b-4c47-b1c9-f09f3a6beba4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E4A22DA-6343-4172-81E9-F82851E219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BASE</vt:lpstr>
      <vt:lpstr>C1.Fire doors</vt:lpstr>
      <vt:lpstr>C2.Metal structure pillar</vt:lpstr>
      <vt:lpstr>C3.Glasses</vt:lpstr>
      <vt:lpstr>C4.Tarpaulins</vt:lpstr>
      <vt:lpstr>C5.Heat pumps</vt:lpstr>
      <vt:lpstr>C6.Steel roll-up shutters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Gonçal Costa Jutglar</dc:creator>
  <cp:keywords/>
  <dc:description/>
  <cp:lastModifiedBy>Gonçal Costa Jutglar</cp:lastModifiedBy>
  <cp:revision/>
  <dcterms:created xsi:type="dcterms:W3CDTF">2015-06-05T18:17:20Z</dcterms:created>
  <dcterms:modified xsi:type="dcterms:W3CDTF">2026-05-15T12:22:51Z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0x0101002D6B0A7A9ED5B749A3E6ACCDB5D52807</vt:lpwstr>
  </property>
  <property fmtid="{D5CDD505-2E9C-101B-9397-08002B2CF9AE}" pid="3" name="MediaServiceImageTags">
    <vt:lpwstr/>
  </property>
</Properties>
</file>